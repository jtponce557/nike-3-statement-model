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wnloads\"/>
    </mc:Choice>
  </mc:AlternateContent>
  <xr:revisionPtr revIDLastSave="0" documentId="8_{0B93B277-83B8-4D97-B419-F80FE24B990D}" xr6:coauthVersionLast="47" xr6:coauthVersionMax="47" xr10:uidLastSave="{00000000-0000-0000-0000-000000000000}"/>
  <bookViews>
    <workbookView xWindow="-108" yWindow="-108" windowWidth="23256" windowHeight="12456" xr2:uid="{93DA4DEA-B087-4428-8B75-7EB4B4E81CF6}"/>
  </bookViews>
  <sheets>
    <sheet name="Cover" sheetId="7" r:id="rId1"/>
    <sheet name="Income statement" sheetId="1" r:id="rId2"/>
    <sheet name="Balance Sheet" sheetId="2" r:id="rId3"/>
    <sheet name="Statement of Cashflows" sheetId="3" r:id="rId4"/>
    <sheet name="PB_CACHE_JS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2" l="1" a="1"/>
  <c r="D51" i="2" a="1"/>
  <c r="E51" i="2" a="1"/>
  <c r="F51" i="2" a="1"/>
  <c r="B51" i="2" a="1"/>
  <c r="G9" i="2" s="1"/>
  <c r="C50" i="2" a="1"/>
  <c r="D50" i="2" a="1"/>
  <c r="E50" i="2" a="1"/>
  <c r="F50" i="2" a="1"/>
  <c r="B50" i="2" a="1"/>
  <c r="G8" i="2" s="1"/>
  <c r="C58" i="2" a="1"/>
  <c r="D58" i="2" a="1"/>
  <c r="E58" i="2" a="1"/>
  <c r="F58" i="2" a="1"/>
  <c r="B58" i="2" a="1"/>
  <c r="G23" i="2"/>
  <c r="G21" i="2"/>
  <c r="H21" i="2"/>
  <c r="J21" i="2"/>
  <c r="K21" i="2"/>
  <c r="I21" i="2"/>
  <c r="E33" i="1" a="1"/>
  <c r="F33" i="1" a="1"/>
  <c r="G33" i="1" a="1"/>
  <c r="H33" i="1" a="1"/>
  <c r="D33" i="1" a="1"/>
  <c r="D36" i="1" a="1"/>
  <c r="E36" i="1" a="1"/>
  <c r="F36" i="1" a="1"/>
  <c r="G36" i="1" a="1"/>
  <c r="H36" i="1" a="1"/>
  <c r="B46" i="3" a="1"/>
  <c r="C46" i="3" a="1"/>
  <c r="D46" i="3" a="1"/>
  <c r="I9" i="3" s="1"/>
  <c r="E46" i="3" a="1"/>
  <c r="F46" i="3" a="1"/>
  <c r="B49" i="3" a="1"/>
  <c r="C49" i="3" a="1"/>
  <c r="D49" i="3" a="1"/>
  <c r="E49" i="3" a="1"/>
  <c r="F49" i="3" a="1"/>
  <c r="C42" i="2"/>
  <c r="D42" i="2"/>
  <c r="E42" i="2"/>
  <c r="F42" i="2"/>
  <c r="B42" i="2"/>
  <c r="G37" i="2"/>
  <c r="H37" i="2" s="1"/>
  <c r="I37" i="2" s="1"/>
  <c r="J37" i="2" s="1"/>
  <c r="K37" i="2" s="1"/>
  <c r="B70" i="2"/>
  <c r="B73" i="2" s="1"/>
  <c r="G28" i="2" s="1"/>
  <c r="B31" i="2"/>
  <c r="C31" i="2"/>
  <c r="D31" i="2"/>
  <c r="E31" i="2"/>
  <c r="F31" i="2"/>
  <c r="C53" i="2"/>
  <c r="D53" i="2"/>
  <c r="E53" i="2"/>
  <c r="F53" i="2"/>
  <c r="B53" i="2"/>
  <c r="G7" i="2" s="1"/>
  <c r="H31" i="3"/>
  <c r="I31" i="3"/>
  <c r="J31" i="3"/>
  <c r="K31" i="3"/>
  <c r="G31" i="3"/>
  <c r="C43" i="2"/>
  <c r="D43" i="2"/>
  <c r="E43" i="2"/>
  <c r="F43" i="2"/>
  <c r="B43" i="2"/>
  <c r="C57" i="2"/>
  <c r="D57" i="2"/>
  <c r="E57" i="2"/>
  <c r="F57" i="2"/>
  <c r="K16" i="2" s="1"/>
  <c r="B57" i="2"/>
  <c r="G16" i="2" s="1"/>
  <c r="G8" i="3" s="1"/>
  <c r="G38" i="3"/>
  <c r="H30" i="3"/>
  <c r="I30" i="3"/>
  <c r="J30" i="3"/>
  <c r="K30" i="3"/>
  <c r="G30" i="3"/>
  <c r="H29" i="3"/>
  <c r="I29" i="3"/>
  <c r="J29" i="3"/>
  <c r="K29" i="3"/>
  <c r="G29" i="3"/>
  <c r="M4" i="1"/>
  <c r="C55" i="2" a="1"/>
  <c r="H7" i="3" s="1"/>
  <c r="D55" i="2" a="1"/>
  <c r="I7" i="3" s="1"/>
  <c r="E55" i="2" a="1"/>
  <c r="J7" i="3" s="1"/>
  <c r="F55" i="2" a="1"/>
  <c r="K7" i="3" s="1"/>
  <c r="B55" i="2" a="1"/>
  <c r="G7" i="3" s="1"/>
  <c r="H9" i="3"/>
  <c r="J9" i="3"/>
  <c r="K9" i="3"/>
  <c r="G9" i="3"/>
  <c r="H35" i="2"/>
  <c r="I35" i="2"/>
  <c r="J35" i="2"/>
  <c r="K35" i="2"/>
  <c r="G35" i="2"/>
  <c r="H14" i="2"/>
  <c r="I14" i="2"/>
  <c r="J14" i="2"/>
  <c r="K14" i="2"/>
  <c r="H15" i="2"/>
  <c r="I15" i="2"/>
  <c r="J15" i="2"/>
  <c r="K15" i="2"/>
  <c r="H16" i="2"/>
  <c r="H8" i="3" s="1"/>
  <c r="I16" i="2"/>
  <c r="I8" i="3" s="1"/>
  <c r="J16" i="2"/>
  <c r="J8" i="3" s="1"/>
  <c r="G15" i="2"/>
  <c r="G14" i="2"/>
  <c r="C62" i="2" a="1"/>
  <c r="H29" i="2" s="1"/>
  <c r="D62" i="2" a="1"/>
  <c r="I29" i="2" s="1"/>
  <c r="E62" i="2" a="1"/>
  <c r="J29" i="2" s="1"/>
  <c r="F62" i="2" a="1"/>
  <c r="K29" i="2" s="1"/>
  <c r="C63" i="2" a="1"/>
  <c r="H30" i="2" s="1"/>
  <c r="D63" i="2" a="1"/>
  <c r="I30" i="2" s="1"/>
  <c r="E63" i="2" a="1"/>
  <c r="J30" i="2" s="1"/>
  <c r="F63" i="2" a="1"/>
  <c r="K30" i="2" s="1"/>
  <c r="B63" i="2" a="1"/>
  <c r="G30" i="2" s="1"/>
  <c r="C61" i="2" a="1"/>
  <c r="D61" i="2" a="1"/>
  <c r="E61" i="2" a="1"/>
  <c r="F61" i="2" a="1"/>
  <c r="B61" i="2" a="1"/>
  <c r="C59" i="2" a="1"/>
  <c r="H24" i="2" s="1"/>
  <c r="D59" i="2" a="1"/>
  <c r="I24" i="2" s="1"/>
  <c r="E59" i="2" a="1"/>
  <c r="J24" i="2" s="1"/>
  <c r="F59" i="2" a="1"/>
  <c r="K24" i="2" s="1"/>
  <c r="C60" i="2" a="1"/>
  <c r="H25" i="2" s="1"/>
  <c r="D60" i="2" a="1"/>
  <c r="I25" i="2" s="1"/>
  <c r="E60" i="2" a="1"/>
  <c r="J25" i="2" s="1"/>
  <c r="F60" i="2" a="1"/>
  <c r="K25" i="2" s="1"/>
  <c r="B60" i="2" a="1"/>
  <c r="G25" i="2" s="1"/>
  <c r="B59" i="2" a="1"/>
  <c r="G24" i="2" s="1"/>
  <c r="B62" i="2" a="1"/>
  <c r="G29" i="2" s="1"/>
  <c r="D56" i="2" a="1"/>
  <c r="I13" i="2" s="1"/>
  <c r="C56" i="2" a="1"/>
  <c r="H13" i="2" s="1"/>
  <c r="E56" i="2" a="1"/>
  <c r="J13" i="2" s="1"/>
  <c r="F56" i="2" a="1"/>
  <c r="K13" i="2" s="1"/>
  <c r="B56" i="2" a="1"/>
  <c r="G13" i="2" s="1"/>
  <c r="C54" i="2" a="1"/>
  <c r="H22" i="3" s="1"/>
  <c r="D54" i="2" a="1"/>
  <c r="I22" i="3" s="1"/>
  <c r="E54" i="2" a="1"/>
  <c r="J22" i="3" s="1"/>
  <c r="F54" i="2" a="1"/>
  <c r="K22" i="3" s="1"/>
  <c r="B54" i="2" a="1"/>
  <c r="G22" i="3" s="1"/>
  <c r="G12" i="2" s="1"/>
  <c r="C52" i="2" a="1"/>
  <c r="H10" i="2" s="1"/>
  <c r="D52" i="2" a="1"/>
  <c r="I10" i="2" s="1"/>
  <c r="E52" i="2" a="1"/>
  <c r="J10" i="2" s="1"/>
  <c r="F52" i="2" a="1"/>
  <c r="K10" i="2" s="1"/>
  <c r="B52" i="2" a="1"/>
  <c r="G10" i="2" s="1"/>
  <c r="I22" i="1"/>
  <c r="I21" i="1"/>
  <c r="I4" i="1"/>
  <c r="E34" i="1" a="1"/>
  <c r="F34" i="1" a="1"/>
  <c r="G34" i="1" a="1"/>
  <c r="H34" i="1" a="1"/>
  <c r="D34" i="1" a="1"/>
  <c r="E32" i="1" a="1"/>
  <c r="F32" i="1" a="1"/>
  <c r="G32" i="1" a="1"/>
  <c r="H32" i="1" a="1"/>
  <c r="D32" i="1" a="1"/>
  <c r="E31" i="1" a="1"/>
  <c r="F31" i="1" a="1"/>
  <c r="G31" i="1" a="1"/>
  <c r="H31" i="1" a="1"/>
  <c r="D31" i="1" a="1"/>
  <c r="E30" i="1" a="1"/>
  <c r="F30" i="1" a="1"/>
  <c r="G30" i="1" a="1"/>
  <c r="H30" i="1" a="1"/>
  <c r="D30" i="1" a="1"/>
  <c r="H23" i="2" l="1"/>
  <c r="I23" i="2"/>
  <c r="J23" i="2" s="1"/>
  <c r="H9" i="2"/>
  <c r="G13" i="3"/>
  <c r="H8" i="2"/>
  <c r="G12" i="3"/>
  <c r="K8" i="3"/>
  <c r="J14" i="3"/>
  <c r="K14" i="3"/>
  <c r="G14" i="3"/>
  <c r="J22" i="1"/>
  <c r="J21" i="1"/>
  <c r="I14" i="3"/>
  <c r="G19" i="3"/>
  <c r="G31" i="2"/>
  <c r="C70" i="2"/>
  <c r="C73" i="2" s="1"/>
  <c r="H14" i="3"/>
  <c r="G24" i="3"/>
  <c r="H12" i="2"/>
  <c r="I12" i="2" s="1"/>
  <c r="J12" i="2" s="1"/>
  <c r="K12" i="2" s="1"/>
  <c r="G36" i="2"/>
  <c r="H7" i="2"/>
  <c r="M5" i="1"/>
  <c r="M7" i="1"/>
  <c r="M9" i="1" s="1"/>
  <c r="M8" i="1"/>
  <c r="M10" i="1"/>
  <c r="M11" i="1"/>
  <c r="M6" i="1"/>
  <c r="I10" i="1"/>
  <c r="I11" i="1"/>
  <c r="I8" i="1"/>
  <c r="J4" i="1"/>
  <c r="I7" i="1"/>
  <c r="I9" i="1" s="1"/>
  <c r="I5" i="1"/>
  <c r="I6" i="1" s="1"/>
  <c r="H13" i="3" l="1"/>
  <c r="I9" i="2"/>
  <c r="H12" i="3"/>
  <c r="I8" i="2"/>
  <c r="M12" i="1"/>
  <c r="M13" i="1" s="1"/>
  <c r="M14" i="1" s="1"/>
  <c r="I12" i="1"/>
  <c r="I13" i="1" s="1"/>
  <c r="I14" i="1" s="1"/>
  <c r="K22" i="1"/>
  <c r="K21" i="1"/>
  <c r="H28" i="2"/>
  <c r="H31" i="2" s="1"/>
  <c r="D70" i="2"/>
  <c r="D73" i="2" s="1"/>
  <c r="I7" i="2"/>
  <c r="H19" i="3"/>
  <c r="H24" i="3" s="1"/>
  <c r="H36" i="2"/>
  <c r="K23" i="2"/>
  <c r="K4" i="1"/>
  <c r="J10" i="1"/>
  <c r="J5" i="1"/>
  <c r="J11" i="1"/>
  <c r="J8" i="1"/>
  <c r="J6" i="1"/>
  <c r="J7" i="1"/>
  <c r="J9" i="1" s="1"/>
  <c r="I13" i="3" l="1"/>
  <c r="J9" i="2"/>
  <c r="I12" i="3"/>
  <c r="J8" i="2"/>
  <c r="K32" i="3"/>
  <c r="K34" i="3" s="1"/>
  <c r="K5" i="3"/>
  <c r="I17" i="1"/>
  <c r="I18" i="1"/>
  <c r="G26" i="2"/>
  <c r="G5" i="3"/>
  <c r="G32" i="3"/>
  <c r="J18" i="1"/>
  <c r="K18" i="1"/>
  <c r="L22" i="1"/>
  <c r="L21" i="1"/>
  <c r="I19" i="3"/>
  <c r="I24" i="3" s="1"/>
  <c r="J7" i="2"/>
  <c r="I28" i="2"/>
  <c r="I31" i="2" s="1"/>
  <c r="E70" i="2"/>
  <c r="E73" i="2" s="1"/>
  <c r="I36" i="2"/>
  <c r="K26" i="2"/>
  <c r="K27" i="2" s="1"/>
  <c r="K11" i="1"/>
  <c r="K8" i="1"/>
  <c r="K5" i="1"/>
  <c r="K6" i="1" s="1"/>
  <c r="K10" i="1"/>
  <c r="K7" i="1"/>
  <c r="L4" i="1"/>
  <c r="J12" i="1"/>
  <c r="K9" i="2" l="1"/>
  <c r="K13" i="3" s="1"/>
  <c r="J13" i="3"/>
  <c r="K8" i="2"/>
  <c r="K12" i="3" s="1"/>
  <c r="J12" i="3"/>
  <c r="G15" i="3"/>
  <c r="G16" i="3" s="1"/>
  <c r="G37" i="3" s="1"/>
  <c r="G39" i="3" s="1"/>
  <c r="G27" i="2"/>
  <c r="G34" i="3"/>
  <c r="G38" i="2"/>
  <c r="L18" i="1"/>
  <c r="M22" i="1"/>
  <c r="M18" i="1" s="1"/>
  <c r="M21" i="1"/>
  <c r="M17" i="1" s="1"/>
  <c r="J36" i="2"/>
  <c r="J19" i="3"/>
  <c r="J24" i="3" s="1"/>
  <c r="K7" i="2"/>
  <c r="K19" i="3" s="1"/>
  <c r="K24" i="3" s="1"/>
  <c r="J28" i="2"/>
  <c r="J31" i="2" s="1"/>
  <c r="F70" i="2"/>
  <c r="F73" i="2" s="1"/>
  <c r="K28" i="2" s="1"/>
  <c r="K31" i="2" s="1"/>
  <c r="K9" i="1"/>
  <c r="K12" i="1" s="1"/>
  <c r="K13" i="1" s="1"/>
  <c r="K14" i="1" s="1"/>
  <c r="L10" i="1"/>
  <c r="L7" i="1"/>
  <c r="L11" i="1"/>
  <c r="L8" i="1"/>
  <c r="L5" i="1"/>
  <c r="L6" i="1" s="1"/>
  <c r="J13" i="1"/>
  <c r="J14" i="1" s="1"/>
  <c r="I32" i="3" l="1"/>
  <c r="I34" i="3" s="1"/>
  <c r="I5" i="3"/>
  <c r="I26" i="2"/>
  <c r="K17" i="1"/>
  <c r="H5" i="3"/>
  <c r="H26" i="2"/>
  <c r="H32" i="3"/>
  <c r="J17" i="1"/>
  <c r="G39" i="2"/>
  <c r="G40" i="2" s="1"/>
  <c r="H38" i="3"/>
  <c r="G6" i="2"/>
  <c r="G11" i="2" s="1"/>
  <c r="G17" i="2" s="1"/>
  <c r="K36" i="2"/>
  <c r="L9" i="1"/>
  <c r="L12" i="1" s="1"/>
  <c r="L13" i="1" s="1"/>
  <c r="L14" i="1" s="1"/>
  <c r="G42" i="2" l="1"/>
  <c r="G43" i="2"/>
  <c r="H34" i="3"/>
  <c r="H38" i="2"/>
  <c r="I15" i="3"/>
  <c r="I16" i="3" s="1"/>
  <c r="I37" i="3" s="1"/>
  <c r="I27" i="2"/>
  <c r="H15" i="3"/>
  <c r="H16" i="3" s="1"/>
  <c r="H37" i="3" s="1"/>
  <c r="H39" i="3" s="1"/>
  <c r="H27" i="2"/>
  <c r="J32" i="3"/>
  <c r="J34" i="3" s="1"/>
  <c r="J26" i="2"/>
  <c r="J5" i="3"/>
  <c r="L17" i="1"/>
  <c r="H39" i="2"/>
  <c r="I38" i="2"/>
  <c r="H40" i="2" l="1"/>
  <c r="H6" i="2"/>
  <c r="H11" i="2" s="1"/>
  <c r="H17" i="2" s="1"/>
  <c r="I38" i="3"/>
  <c r="I39" i="3" s="1"/>
  <c r="K15" i="3"/>
  <c r="K16" i="3" s="1"/>
  <c r="K37" i="3" s="1"/>
  <c r="J15" i="3"/>
  <c r="J16" i="3" s="1"/>
  <c r="J37" i="3" s="1"/>
  <c r="J27" i="2"/>
  <c r="I39" i="2"/>
  <c r="I40" i="2" s="1"/>
  <c r="J38" i="2"/>
  <c r="H42" i="2" l="1"/>
  <c r="H43" i="2"/>
  <c r="J38" i="3"/>
  <c r="J39" i="3" s="1"/>
  <c r="I6" i="2"/>
  <c r="I11" i="2" s="1"/>
  <c r="I17" i="2" s="1"/>
  <c r="J39" i="2"/>
  <c r="J40" i="2" s="1"/>
  <c r="K38" i="2"/>
  <c r="K39" i="2" s="1"/>
  <c r="K40" i="2" s="1"/>
  <c r="I42" i="2" l="1"/>
  <c r="I43" i="2"/>
  <c r="K38" i="3"/>
  <c r="K39" i="3" s="1"/>
  <c r="K6" i="2" s="1"/>
  <c r="K11" i="2" s="1"/>
  <c r="K17" i="2" s="1"/>
  <c r="J6" i="2"/>
  <c r="J11" i="2" s="1"/>
  <c r="J17" i="2" s="1"/>
  <c r="K43" i="2" l="1"/>
  <c r="K42" i="2"/>
  <c r="J42" i="2"/>
  <c r="J4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<sst xmlns="http://schemas.openxmlformats.org/spreadsheetml/2006/main" count="217" uniqueCount="153">
  <si>
    <t>(In millions, except per share data)</t>
  </si>
  <si>
    <t>Revenues</t>
  </si>
  <si>
    <t>Cost of sales</t>
  </si>
  <si>
    <t>Gross profit</t>
  </si>
  <si>
    <t>Demand creation expense</t>
  </si>
  <si>
    <t>Operating overhead expense</t>
  </si>
  <si>
    <t>Total selling and administrative expense</t>
  </si>
  <si>
    <t>Interest (income) expense, net</t>
  </si>
  <si>
    <t>Other (income) expense, net</t>
  </si>
  <si>
    <t>Income before income taxes</t>
  </si>
  <si>
    <t>Income tax expense</t>
  </si>
  <si>
    <t>NET INCOME</t>
  </si>
  <si>
    <t>Earnings per common share:</t>
  </si>
  <si>
    <t>Basic</t>
  </si>
  <si>
    <t>Diluted</t>
  </si>
  <si>
    <t>Nike Historical &amp; Projected Income Statement</t>
  </si>
  <si>
    <t>Weighted Average Shares Outstanding:</t>
  </si>
  <si>
    <t>2027E</t>
  </si>
  <si>
    <t>2028E</t>
  </si>
  <si>
    <t>2029E</t>
  </si>
  <si>
    <t>2030E</t>
  </si>
  <si>
    <t>2031E</t>
  </si>
  <si>
    <t>2022A</t>
  </si>
  <si>
    <t>2023A</t>
  </si>
  <si>
    <t>2024A</t>
  </si>
  <si>
    <t>2025A</t>
  </si>
  <si>
    <t>2026A</t>
  </si>
  <si>
    <t>ASSETS</t>
  </si>
  <si>
    <t>Current assets:</t>
  </si>
  <si>
    <t>Cash and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</si>
  <si>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</si>
  <si>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</si>
  <si>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</si>
  <si>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</si>
  <si>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</si>
  <si>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Property, plant and equipment, net</t>
  </si>
  <si>
    <t>Operating lease right-of-use assets, net</t>
  </si>
  <si>
    <t>Identifiable intangible assets, net</t>
  </si>
  <si>
    <t>Goodwill</t>
  </si>
  <si>
    <t>Deferred income taxes and other assets</t>
  </si>
  <si>
    <t>TOTAL ASSETS</t>
  </si>
  <si>
    <t>LIABILITIES AND SHAREHOLDERS' EQUITY</t>
  </si>
  <si>
    <t>Current liabilities:</t>
  </si>
  <si>
    <t>Current portion of long-term debt</t>
  </si>
  <si>
    <t>Notes payable</t>
  </si>
  <si>
    <t>Accounts payable</t>
  </si>
  <si>
    <t>Current portion of operating lease liabilities</t>
  </si>
  <si>
    <t>Accrued liabilities</t>
  </si>
  <si>
    <t>Income taxes payable</t>
  </si>
  <si>
    <t>Total current liabilities</t>
  </si>
  <si>
    <t>Long-term debt</t>
  </si>
  <si>
    <t>Operating lease liabilities</t>
  </si>
  <si>
    <t>Deferred income taxes and other liabilities</t>
  </si>
  <si>
    <t>Shareholders' equity:</t>
  </si>
  <si>
    <t>Capital in excess of stated value</t>
  </si>
  <si>
    <t>Accumulated other comprehensive income (loss)</t>
  </si>
  <si>
    <t>Retained earnings (deficit)</t>
  </si>
  <si>
    <t>Total shareholders' equity</t>
  </si>
  <si>
    <t>TOTAL LIABILITIES AND SHAREHOLDERS' EQUITY</t>
  </si>
  <si>
    <t>Nike Historical and Project Balance Sheet</t>
  </si>
  <si>
    <t>Net income</t>
  </si>
  <si>
    <t>Adjustments to reconcile net income to net cash provided (used) by operations:</t>
  </si>
  <si>
    <t>Deferred income taxes</t>
  </si>
  <si>
    <t>Stock-based compensation</t>
  </si>
  <si>
    <t>Net foreign currency adjustments</t>
  </si>
  <si>
    <t>Changes in certain working capital components and other assets and liabilities:</t>
  </si>
  <si>
    <t>(Increase) decrease in accounts receivable</t>
  </si>
  <si>
    <t>(Increase) decrease in inventories</t>
  </si>
  <si>
    <t>Cash provided (used) by operations</t>
  </si>
  <si>
    <t>Purchases of short-term investments</t>
  </si>
  <si>
    <t>Maturities of short-term investments</t>
  </si>
  <si>
    <t>Sales of short-term investments</t>
  </si>
  <si>
    <t>Additions to property, plant and equipment</t>
  </si>
  <si>
    <t>Other investing activities</t>
  </si>
  <si>
    <t>Cash provided (used) by investing activities</t>
  </si>
  <si>
    <t>Proceeds from borrowings, net of debt issuance costs</t>
  </si>
  <si>
    <t>Increase (decrease) in notes payable, net</t>
  </si>
  <si>
    <t>Repayment of borrowings</t>
  </si>
  <si>
    <t>Proceeds from exercise of stock options and other stock issuances</t>
  </si>
  <si>
    <t>Repurchase of common stock</t>
  </si>
  <si>
    <t>Dividends — common and preferred</t>
  </si>
  <si>
    <t>Other financing activities</t>
  </si>
  <si>
    <t>Cash provided (used) by financing activities</t>
  </si>
  <si>
    <t>Effect of exchange rate changes on cash and equivalents</t>
  </si>
  <si>
    <t>Net increase (decrease) in cash and equivalents</t>
  </si>
  <si>
    <t>Cash and equivalents, beginning of year</t>
  </si>
  <si>
    <t>CASH AND EQUIVALENTS, END OF YEAR</t>
  </si>
  <si>
    <t>Nike Historical &amp; Projected Cash Flow Statement</t>
  </si>
  <si>
    <t>Balance Sheet Check</t>
  </si>
  <si>
    <t>OPERATIONS</t>
  </si>
  <si>
    <t>INVESTING</t>
  </si>
  <si>
    <t>FINANCING</t>
  </si>
  <si>
    <t xml:space="preserve">Revenue Growth </t>
  </si>
  <si>
    <t>COGS (% of revenue)</t>
  </si>
  <si>
    <t>Demand Creation (% of revenue)</t>
  </si>
  <si>
    <t>Operating overhead expense (% of revenue)</t>
  </si>
  <si>
    <t>Tax Rate</t>
  </si>
  <si>
    <t xml:space="preserve">Share buy-back rate </t>
  </si>
  <si>
    <t>Other (income) expense rate (% of revenue)</t>
  </si>
  <si>
    <t>Interest income expense rate (% of revnue)</t>
  </si>
  <si>
    <t>Days Inventory Oustanding (DIO)</t>
  </si>
  <si>
    <t>Days Sales Outstanding (DSO)</t>
  </si>
  <si>
    <t>Prepaid expenses &amp; other current assets (% of revenue)</t>
  </si>
  <si>
    <t>Short-term investments growth rate (% YoY)</t>
  </si>
  <si>
    <t>Capital expenditures (% of revenue)</t>
  </si>
  <si>
    <t>Depreciation &amp; amortization (% of revenue)</t>
  </si>
  <si>
    <t>Operating lease ROU assets (% of revenue)</t>
  </si>
  <si>
    <t>Deferred income taxes &amp; other assets (% of revenue)</t>
  </si>
  <si>
    <t>Current portion of operating lease liabilities (% of revenue)</t>
  </si>
  <si>
    <t>Accrued liabilities (% of revenue)</t>
  </si>
  <si>
    <t>Income taxes payable (% of income tax expense)</t>
  </si>
  <si>
    <t>Long-term operating lease liabilities (% of revenue)</t>
  </si>
  <si>
    <t>Deferred income taxes &amp; other liabilities (% of revenue)</t>
  </si>
  <si>
    <t>Days Payable Outstanding (DPO)</t>
  </si>
  <si>
    <t>—</t>
  </si>
  <si>
    <t>Balance Sheet Assumptions/Drivers</t>
  </si>
  <si>
    <t>Debt Schedule</t>
  </si>
  <si>
    <t>Beginning total debt</t>
  </si>
  <si>
    <t>Scheduled Payments</t>
  </si>
  <si>
    <t>New borrowings</t>
  </si>
  <si>
    <t>Ending Total Debt</t>
  </si>
  <si>
    <t xml:space="preserve">Class B </t>
  </si>
  <si>
    <t>Class A convertible</t>
  </si>
  <si>
    <t>Cash Flow Statement Assumptions</t>
  </si>
  <si>
    <t>Stock based Compensation (% of revenue)</t>
  </si>
  <si>
    <t>Proceeds from stock option exercises (% of revenue)</t>
  </si>
  <si>
    <t>Share repurchases (% of revenue)</t>
  </si>
  <si>
    <t>Depreciation, Amortization, impairment and other</t>
  </si>
  <si>
    <t>Dividend Payout Ratio (% of net income)</t>
  </si>
  <si>
    <t xml:space="preserve">  </t>
  </si>
  <si>
    <t>Total Long Term Liabilities</t>
  </si>
  <si>
    <t>Difference</t>
  </si>
  <si>
    <t>Reversed CAGR from past 5 years assuming short term investing behavior will revert back prior to financial decline</t>
  </si>
  <si>
    <t>Last 2 year average to account for recent trend</t>
  </si>
  <si>
    <t>Netted into Purchases of Short Term Investments</t>
  </si>
  <si>
    <t>Trailing 4 year average, ignoring 2022 outlier</t>
  </si>
  <si>
    <t>Assumes higher sales will drive up share buy back rate then remain constant</t>
  </si>
  <si>
    <t>Increase (decrease) in accounts payable, accrued liabilities, operating lease liabilities and other liabilities</t>
  </si>
  <si>
    <t>(Increase) decrease in prepaid expenses, operating lease right-of-use assets and other  assets</t>
  </si>
  <si>
    <t>NIKE, Inc. | 3 Statement Model | 8/26/2026 | Joshua Ponce</t>
  </si>
  <si>
    <t>Black = Formulas that reference cells within the same sheet</t>
  </si>
  <si>
    <r>
      <rPr>
        <sz val="11"/>
        <color rgb="FF0000FF"/>
        <rFont val="Aptos Narrow"/>
        <family val="2"/>
        <scheme val="minor"/>
      </rPr>
      <t>Blue</t>
    </r>
    <r>
      <rPr>
        <sz val="11"/>
        <color theme="1"/>
        <rFont val="Aptos Narrow"/>
        <family val="2"/>
        <scheme val="minor"/>
      </rPr>
      <t xml:space="preserve"> = Hardcoded Values</t>
    </r>
  </si>
  <si>
    <r>
      <rPr>
        <sz val="11"/>
        <color rgb="FF339933"/>
        <rFont val="Aptos Narrow"/>
        <family val="2"/>
        <scheme val="minor"/>
      </rPr>
      <t>Green</t>
    </r>
    <r>
      <rPr>
        <sz val="11"/>
        <color theme="1"/>
        <rFont val="Aptos Narrow"/>
        <family val="2"/>
        <scheme val="minor"/>
      </rPr>
      <t xml:space="preserve"> = Formulas with cross-sheet references</t>
    </r>
  </si>
  <si>
    <t>Held flat at 0 in absence of a reliable method to predict currency fluctuations</t>
  </si>
  <si>
    <t>Color Guide</t>
  </si>
  <si>
    <t>Held flat at approximate Federal Statutory Tax Rate</t>
  </si>
  <si>
    <t>Assumed modest revenue bounce-back due to CEO's new "Win Now" plan (Bottom Up Revenue Build that benchmarks against consensus estimates will be added soon)</t>
  </si>
  <si>
    <t xml:space="preserve">Income Statement Assumptions/Drivers </t>
  </si>
  <si>
    <t xml:space="preserve">4 year average of FY 2022-2025 due to temporary outliers </t>
  </si>
  <si>
    <t>Past 4 year average due to temporary outliers</t>
  </si>
  <si>
    <t>AI Usage Statement</t>
  </si>
  <si>
    <r>
      <rPr>
        <u/>
        <sz val="11"/>
        <color theme="1"/>
        <rFont val="Aptos Narrow"/>
        <family val="2"/>
        <scheme val="minor"/>
      </rPr>
      <t xml:space="preserve">Built independently; </t>
    </r>
    <r>
      <rPr>
        <sz val="11"/>
        <color theme="1"/>
        <rFont val="Aptos Narrow"/>
        <family val="2"/>
        <scheme val="minor"/>
      </rPr>
      <t xml:space="preserve">used </t>
    </r>
    <r>
      <rPr>
        <i/>
        <sz val="11"/>
        <color theme="1"/>
        <rFont val="Aptos Narrow"/>
        <family val="2"/>
        <scheme val="minor"/>
      </rPr>
      <t>Claude</t>
    </r>
    <r>
      <rPr>
        <sz val="11"/>
        <color theme="1"/>
        <rFont val="Aptos Narrow"/>
        <family val="2"/>
        <scheme val="minor"/>
      </rPr>
      <t xml:space="preserve"> as a review tool to audit formula logic and refine consistency</t>
    </r>
  </si>
  <si>
    <t>Held flat at 0 in absence of no reliable method of predicting currency fluctuations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</si>
</sst>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8.5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.5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339933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1" fillId="4" borderId="0" xfId="0" applyFont="1" applyFill="1" applyAlignment="1">
      <alignment vertical="center"/>
    </xf>
    <xf numFmtId="0" fontId="1" fillId="4" borderId="0" xfId="0" applyFont="1" applyFill="1"/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" fontId="1" fillId="0" borderId="0" xfId="0" applyNumberFormat="1" applyFont="1"/>
    <xf numFmtId="0" fontId="1" fillId="3" borderId="3" xfId="0" applyFont="1" applyFill="1" applyBorder="1" applyAlignment="1">
      <alignment horizontal="right"/>
    </xf>
    <xf numFmtId="0" fontId="7" fillId="0" borderId="0" xfId="0" applyFont="1" applyAlignment="1">
      <alignment wrapText="1"/>
    </xf>
    <xf numFmtId="0" fontId="7" fillId="4" borderId="0" xfId="0" applyFont="1" applyFill="1" applyAlignment="1">
      <alignment wrapText="1"/>
    </xf>
    <xf numFmtId="0" fontId="7" fillId="0" borderId="0" xfId="0" applyFont="1" applyAlignment="1">
      <alignment horizontal="right" vertical="center" wrapText="1"/>
    </xf>
    <xf numFmtId="10" fontId="8" fillId="0" borderId="0" xfId="0" applyNumberFormat="1" applyFont="1"/>
    <xf numFmtId="0" fontId="8" fillId="0" borderId="0" xfId="0" applyFont="1"/>
    <xf numFmtId="3" fontId="8" fillId="0" borderId="0" xfId="0" applyNumberFormat="1" applyFont="1"/>
    <xf numFmtId="0" fontId="2" fillId="2" borderId="0" xfId="0" applyFont="1" applyFill="1" applyAlignment="1">
      <alignment vertical="center"/>
    </xf>
    <xf numFmtId="165" fontId="0" fillId="0" borderId="0" xfId="1" applyNumberFormat="1" applyFont="1" applyAlignment="1">
      <alignment horizontal="right"/>
    </xf>
    <xf numFmtId="165" fontId="0" fillId="0" borderId="1" xfId="1" applyNumberFormat="1" applyFont="1" applyBorder="1" applyAlignment="1">
      <alignment horizontal="right" vertical="center"/>
    </xf>
    <xf numFmtId="165" fontId="0" fillId="0" borderId="0" xfId="1" applyNumberFormat="1" applyFont="1"/>
    <xf numFmtId="165" fontId="1" fillId="0" borderId="0" xfId="1" applyNumberFormat="1" applyFont="1" applyAlignment="1">
      <alignment horizontal="right" vertical="center"/>
    </xf>
    <xf numFmtId="165" fontId="1" fillId="0" borderId="0" xfId="1" applyNumberFormat="1" applyFont="1" applyAlignment="1">
      <alignment horizontal="right"/>
    </xf>
    <xf numFmtId="165" fontId="1" fillId="0" borderId="0" xfId="1" applyNumberFormat="1" applyFo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10" fontId="10" fillId="0" borderId="0" xfId="0" applyNumberFormat="1" applyFont="1"/>
    <xf numFmtId="1" fontId="11" fillId="0" borderId="0" xfId="0" applyNumberFormat="1" applyFont="1"/>
    <xf numFmtId="0" fontId="5" fillId="4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 indent="1"/>
    </xf>
    <xf numFmtId="0" fontId="4" fillId="0" borderId="2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/>
    </xf>
    <xf numFmtId="165" fontId="0" fillId="0" borderId="4" xfId="1" applyNumberFormat="1" applyFont="1" applyBorder="1"/>
    <xf numFmtId="0" fontId="0" fillId="0" borderId="0" xfId="0" applyFont="1"/>
    <xf numFmtId="0" fontId="0" fillId="0" borderId="0" xfId="0" applyFont="1" applyAlignment="1">
      <alignment horizontal="right"/>
    </xf>
    <xf numFmtId="10" fontId="0" fillId="0" borderId="0" xfId="0" applyNumberFormat="1" applyFont="1"/>
    <xf numFmtId="0" fontId="0" fillId="4" borderId="0" xfId="0" applyFont="1" applyFill="1" applyAlignment="1">
      <alignment wrapText="1"/>
    </xf>
    <xf numFmtId="0" fontId="0" fillId="4" borderId="0" xfId="0" applyFont="1" applyFill="1"/>
    <xf numFmtId="2" fontId="0" fillId="0" borderId="0" xfId="0" applyNumberFormat="1" applyFont="1" applyAlignment="1">
      <alignment horizontal="right" wrapText="1"/>
    </xf>
    <xf numFmtId="2" fontId="0" fillId="0" borderId="0" xfId="0" applyNumberFormat="1" applyFont="1"/>
    <xf numFmtId="0" fontId="0" fillId="0" borderId="0" xfId="0" applyFont="1" applyAlignment="1">
      <alignment horizontal="right" wrapText="1"/>
    </xf>
    <xf numFmtId="0" fontId="0" fillId="4" borderId="0" xfId="0" applyFont="1" applyFill="1" applyAlignment="1">
      <alignment horizontal="right" wrapText="1"/>
    </xf>
    <xf numFmtId="1" fontId="0" fillId="0" borderId="0" xfId="0" applyNumberFormat="1" applyFont="1"/>
    <xf numFmtId="0" fontId="0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horizontal="right" vertical="center"/>
    </xf>
    <xf numFmtId="0" fontId="0" fillId="0" borderId="1" xfId="0" applyFont="1" applyBorder="1"/>
    <xf numFmtId="164" fontId="0" fillId="0" borderId="0" xfId="0" applyNumberFormat="1" applyFont="1"/>
    <xf numFmtId="10" fontId="0" fillId="0" borderId="0" xfId="0" applyNumberFormat="1" applyFont="1" applyAlignment="1">
      <alignment horizontal="right" vertical="center"/>
    </xf>
    <xf numFmtId="3" fontId="0" fillId="0" borderId="0" xfId="0" applyNumberFormat="1" applyFont="1"/>
    <xf numFmtId="0" fontId="4" fillId="0" borderId="0" xfId="0" applyFont="1" applyAlignment="1">
      <alignment horizontal="right" vertical="center" wrapText="1"/>
    </xf>
    <xf numFmtId="1" fontId="0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right"/>
    </xf>
    <xf numFmtId="0" fontId="0" fillId="0" borderId="0" xfId="0" applyFont="1" applyAlignment="1">
      <alignment horizontal="center"/>
    </xf>
    <xf numFmtId="0" fontId="12" fillId="0" borderId="5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top"/>
    </xf>
    <xf numFmtId="165" fontId="15" fillId="0" borderId="0" xfId="1" applyNumberFormat="1" applyFont="1" applyAlignment="1">
      <alignment horizontal="right"/>
    </xf>
    <xf numFmtId="165" fontId="15" fillId="0" borderId="0" xfId="1" applyNumberFormat="1" applyFont="1" applyAlignment="1">
      <alignment horizontal="right" wrapText="1"/>
    </xf>
    <xf numFmtId="165" fontId="15" fillId="0" borderId="1" xfId="1" applyNumberFormat="1" applyFont="1" applyBorder="1" applyAlignment="1">
      <alignment horizontal="right" wrapText="1"/>
    </xf>
    <xf numFmtId="165" fontId="13" fillId="0" borderId="0" xfId="1" applyNumberFormat="1" applyFont="1" applyAlignment="1">
      <alignment horizontal="right"/>
    </xf>
    <xf numFmtId="165" fontId="13" fillId="0" borderId="0" xfId="1" applyNumberFormat="1" applyFont="1" applyAlignment="1">
      <alignment horizontal="right" wrapText="1"/>
    </xf>
    <xf numFmtId="165" fontId="13" fillId="0" borderId="1" xfId="1" applyNumberFormat="1" applyFont="1" applyBorder="1" applyAlignment="1">
      <alignment horizontal="right" wrapText="1"/>
    </xf>
    <xf numFmtId="10" fontId="13" fillId="0" borderId="0" xfId="0" applyNumberFormat="1" applyFont="1"/>
    <xf numFmtId="1" fontId="13" fillId="4" borderId="0" xfId="0" applyNumberFormat="1" applyFont="1" applyFill="1"/>
    <xf numFmtId="1" fontId="13" fillId="4" borderId="0" xfId="0" applyNumberFormat="1" applyFont="1" applyFill="1" applyAlignment="1">
      <alignment wrapText="1"/>
    </xf>
    <xf numFmtId="1" fontId="13" fillId="4" borderId="1" xfId="0" applyNumberFormat="1" applyFont="1" applyFill="1" applyBorder="1" applyAlignment="1">
      <alignment wrapText="1"/>
    </xf>
    <xf numFmtId="2" fontId="13" fillId="0" borderId="0" xfId="0" applyNumberFormat="1" applyFont="1"/>
    <xf numFmtId="2" fontId="13" fillId="0" borderId="0" xfId="0" applyNumberFormat="1" applyFont="1" applyAlignment="1">
      <alignment wrapText="1"/>
    </xf>
    <xf numFmtId="2" fontId="13" fillId="0" borderId="1" xfId="0" applyNumberFormat="1" applyFont="1" applyBorder="1" applyAlignment="1">
      <alignment wrapText="1"/>
    </xf>
    <xf numFmtId="2" fontId="13" fillId="0" borderId="1" xfId="0" applyNumberFormat="1" applyFont="1" applyBorder="1"/>
    <xf numFmtId="2" fontId="13" fillId="4" borderId="0" xfId="0" applyNumberFormat="1" applyFont="1" applyFill="1"/>
    <xf numFmtId="2" fontId="13" fillId="4" borderId="0" xfId="0" applyNumberFormat="1" applyFont="1" applyFill="1" applyAlignment="1">
      <alignment wrapText="1"/>
    </xf>
    <xf numFmtId="2" fontId="13" fillId="4" borderId="1" xfId="0" applyNumberFormat="1" applyFont="1" applyFill="1" applyBorder="1" applyAlignment="1">
      <alignment wrapText="1"/>
    </xf>
    <xf numFmtId="165" fontId="13" fillId="0" borderId="0" xfId="1" applyNumberFormat="1" applyFont="1"/>
    <xf numFmtId="165" fontId="13" fillId="0" borderId="0" xfId="1" applyNumberFormat="1" applyFont="1" applyAlignment="1">
      <alignment wrapText="1"/>
    </xf>
    <xf numFmtId="165" fontId="13" fillId="0" borderId="1" xfId="1" applyNumberFormat="1" applyFont="1" applyBorder="1" applyAlignment="1">
      <alignment wrapText="1"/>
    </xf>
    <xf numFmtId="9" fontId="13" fillId="0" borderId="0" xfId="0" applyNumberFormat="1" applyFont="1"/>
    <xf numFmtId="165" fontId="13" fillId="0" borderId="0" xfId="1" applyNumberFormat="1" applyFont="1" applyAlignment="1">
      <alignment horizontal="right" vertical="center"/>
    </xf>
    <xf numFmtId="165" fontId="13" fillId="0" borderId="1" xfId="1" applyNumberFormat="1" applyFont="1" applyBorder="1" applyAlignment="1">
      <alignment horizontal="right" vertical="center"/>
    </xf>
    <xf numFmtId="165" fontId="15" fillId="0" borderId="0" xfId="1" applyNumberFormat="1" applyFont="1" applyAlignment="1">
      <alignment horizontal="right" vertical="center"/>
    </xf>
    <xf numFmtId="165" fontId="15" fillId="0" borderId="1" xfId="1" applyNumberFormat="1" applyFont="1" applyBorder="1" applyAlignment="1">
      <alignment horizontal="right" vertical="center"/>
    </xf>
    <xf numFmtId="10" fontId="14" fillId="0" borderId="0" xfId="0" applyNumberFormat="1" applyFont="1"/>
    <xf numFmtId="9" fontId="14" fillId="0" borderId="0" xfId="0" applyNumberFormat="1" applyFont="1"/>
    <xf numFmtId="165" fontId="14" fillId="0" borderId="0" xfId="1" applyNumberFormat="1" applyFont="1"/>
    <xf numFmtId="165" fontId="9" fillId="0" borderId="1" xfId="1" applyNumberFormat="1" applyFont="1" applyBorder="1" applyAlignment="1">
      <alignment horizontal="right" vertical="center"/>
    </xf>
    <xf numFmtId="3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3" fontId="13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3" fontId="15" fillId="0" borderId="0" xfId="0" applyNumberFormat="1" applyFont="1" applyAlignment="1">
      <alignment horizontal="right"/>
    </xf>
    <xf numFmtId="3" fontId="15" fillId="0" borderId="1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" xfId="0" applyFont="1" applyBorder="1" applyAlignment="1">
      <alignment horizontal="right"/>
    </xf>
    <xf numFmtId="0" fontId="13" fillId="0" borderId="0" xfId="0" applyFont="1"/>
    <xf numFmtId="1" fontId="14" fillId="0" borderId="0" xfId="0" applyNumberFormat="1" applyFont="1"/>
    <xf numFmtId="0" fontId="14" fillId="0" borderId="0" xfId="0" applyFont="1" applyAlignment="1">
      <alignment horizontal="right"/>
    </xf>
    <xf numFmtId="0" fontId="14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12" fillId="0" borderId="10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12" fillId="0" borderId="16" xfId="0" applyFont="1" applyBorder="1" applyAlignment="1">
      <alignment horizontal="center" vertical="top"/>
    </xf>
    <xf numFmtId="43" fontId="13" fillId="0" borderId="0" xfId="0" applyNumberFormat="1" applyFont="1"/>
    <xf numFmtId="0" fontId="0" fillId="0" borderId="6" xfId="0" applyFont="1" applyBorder="1"/>
    <xf numFmtId="165" fontId="0" fillId="0" borderId="6" xfId="1" applyNumberFormat="1" applyFont="1" applyBorder="1"/>
    <xf numFmtId="2" fontId="8" fillId="0" borderId="0" xfId="0" applyNumberFormat="1" applyFont="1"/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8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9" xfId="0" applyBorder="1" applyAlignment="1">
      <alignment horizontal="center" vertical="top"/>
    </xf>
  </cellXfs>
  <cellStyles count="2">
    <cellStyle name="Comma" xfId="1" builtinId="3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215265</xdr:colOff>
      <xdr:row>11</xdr:row>
      <xdr:rowOff>85725</xdr:rowOff>
    </xdr:from>
    <xdr:to>
      <xdr:col>14</xdr:col>
      <xdr:colOff>382905</xdr:colOff>
      <xdr:row>20</xdr:row>
      <xdr:rowOff>135255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387DA-1234-A4F3-55BB-A88C3570D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465" y="2076450"/>
          <a:ext cx="4434840" cy="1796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0C25FD-72BC-4E67-9F9C-4266EB04A35E}">
  <we:reference id="wa200002663" version="1.8.0.0" store="en-US" storeType="OMEX"/>
  <we:alternateReferences>
    <we:reference id="WA200002663" version="1.8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PBF</we:customFunctionIds>
        <we:customFunctionIds>PBM</we:customFunctionIds>
        <we:customFunctionIds>PBD</we:customFunctionIds>
        <we:customFunctionIds>PBA</we:customFunctionIds>
        <we:customFunctionIds>PBS</we:customFunctionIds>
        <we:customFunctionIds>PBEQR</we:customFunctionIds>
        <we:customFunctionIds>PBIMAGE</we:customFunctionIds>
        <we:customFunctionIds>PBFS</we:customFunctionIds>
        <we:customFunctionIds>PBMATCHPBID</we:customFunctionIds>
        <we:customFunctionIds>PBMATCHSYMBOL</we:customFunctionIds>
        <we:customFunctionIds>PBR</we:customFunctionIds>
        <we:customFunctionIds>PBCHARTMARKET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5DEA-A53C-4370-9B06-8FA9570F7F63}">
  <dimension ref="E8:V25"/>
  <sheetViews>
    <sheetView tabSelected="1" topLeftCell="C4" zoomScale="90" zoomScaleNormal="90" workbookViewId="0">
      <selection activeCell="L4" sqref="L4"/>
    </sheetView>
  </sheetViews>
  <sheetFormatPr defaultRowHeight="14.4" x14ac:dyDescent="0.3"/>
  <cols>
    <col min="13" max="14" width="8.88671875" customWidth="1"/>
    <col min="15" max="15" width="19.77734375" customWidth="1"/>
    <col min="18" max="18" width="51.44140625" customWidth="1"/>
  </cols>
  <sheetData>
    <row r="8" spans="5:22" ht="15" thickBot="1" x14ac:dyDescent="0.35"/>
    <row r="9" spans="5:22" x14ac:dyDescent="0.3">
      <c r="E9" s="107" t="s">
        <v>139</v>
      </c>
      <c r="F9" s="60"/>
      <c r="G9" s="60"/>
      <c r="H9" s="60"/>
      <c r="I9" s="60"/>
      <c r="J9" s="60"/>
      <c r="K9" s="60"/>
      <c r="L9" s="60"/>
      <c r="M9" s="60"/>
      <c r="N9" s="60"/>
      <c r="O9" s="60"/>
      <c r="P9" s="108"/>
      <c r="R9" s="103" t="s">
        <v>144</v>
      </c>
    </row>
    <row r="10" spans="5:22" x14ac:dyDescent="0.3">
      <c r="E10" s="109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10"/>
      <c r="R10" s="104"/>
    </row>
    <row r="11" spans="5:22" x14ac:dyDescent="0.3">
      <c r="E11" s="109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110"/>
      <c r="R11" s="105" t="s">
        <v>141</v>
      </c>
    </row>
    <row r="12" spans="5:22" x14ac:dyDescent="0.3">
      <c r="E12" s="109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110"/>
      <c r="R12" s="105" t="s">
        <v>140</v>
      </c>
    </row>
    <row r="13" spans="5:22" x14ac:dyDescent="0.3">
      <c r="E13" s="109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110"/>
      <c r="R13" s="106" t="s">
        <v>142</v>
      </c>
    </row>
    <row r="14" spans="5:22" x14ac:dyDescent="0.3">
      <c r="E14" s="109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110"/>
    </row>
    <row r="15" spans="5:22" x14ac:dyDescent="0.3">
      <c r="E15" s="109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110"/>
    </row>
    <row r="16" spans="5:22" ht="19.8" x14ac:dyDescent="0.4">
      <c r="E16" s="109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110"/>
      <c r="R16" s="118" t="s">
        <v>150</v>
      </c>
      <c r="S16" s="119"/>
      <c r="T16" s="119"/>
      <c r="U16" s="119"/>
      <c r="V16" s="120"/>
    </row>
    <row r="17" spans="5:22" ht="17.399999999999999" customHeight="1" x14ac:dyDescent="0.3">
      <c r="E17" s="109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110"/>
      <c r="R17" s="121" t="s">
        <v>151</v>
      </c>
      <c r="S17" s="122"/>
      <c r="T17" s="122"/>
      <c r="U17" s="122"/>
      <c r="V17" s="123"/>
    </row>
    <row r="18" spans="5:22" x14ac:dyDescent="0.3">
      <c r="E18" s="109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110"/>
    </row>
    <row r="19" spans="5:22" x14ac:dyDescent="0.3">
      <c r="E19" s="109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110"/>
    </row>
    <row r="20" spans="5:22" x14ac:dyDescent="0.3">
      <c r="E20" s="109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110"/>
    </row>
    <row r="21" spans="5:22" x14ac:dyDescent="0.3">
      <c r="E21" s="109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110"/>
    </row>
    <row r="22" spans="5:22" x14ac:dyDescent="0.3">
      <c r="E22" s="109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110"/>
    </row>
    <row r="23" spans="5:22" ht="15" thickBot="1" x14ac:dyDescent="0.35">
      <c r="E23" s="111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3"/>
    </row>
    <row r="24" spans="5:22" ht="14.4" customHeight="1" x14ac:dyDescent="0.3"/>
    <row r="25" spans="5:22" ht="14.4" customHeight="1" x14ac:dyDescent="0.3"/>
  </sheetData>
  <mergeCells count="4">
    <mergeCell ref="E9:P23"/>
    <mergeCell ref="R9:R10"/>
    <mergeCell ref="R17:V17"/>
    <mergeCell ref="R16:V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9C61-A930-4BAD-BB29-82D0FD0E0100}">
  <dimension ref="A1:N39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38" sqref="G38"/>
    </sheetView>
  </sheetViews>
  <sheetFormatPr defaultRowHeight="14.4" x14ac:dyDescent="0.3"/>
  <cols>
    <col min="1" max="2" width="8.88671875" style="39"/>
    <col min="3" max="3" width="25" style="39" customWidth="1"/>
    <col min="4" max="4" width="10.88671875" style="39" customWidth="1"/>
    <col min="5" max="5" width="10.44140625" style="39" bestFit="1" customWidth="1"/>
    <col min="6" max="8" width="9.77734375" style="39" bestFit="1" customWidth="1"/>
    <col min="9" max="9" width="8.88671875" style="39" customWidth="1"/>
    <col min="10" max="10" width="9.5546875" style="39" customWidth="1"/>
    <col min="11" max="11" width="9.44140625" style="39" customWidth="1"/>
    <col min="12" max="13" width="10.44140625" style="39" bestFit="1" customWidth="1"/>
    <col min="14" max="16384" width="8.88671875" style="39"/>
  </cols>
  <sheetData>
    <row r="1" spans="1:14" ht="25.2" customHeight="1" x14ac:dyDescent="0.3">
      <c r="A1" s="35" t="s">
        <v>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3" spans="1:14" ht="14.4" customHeight="1" x14ac:dyDescent="0.3">
      <c r="A3" s="34" t="s">
        <v>0</v>
      </c>
      <c r="B3" s="34"/>
      <c r="C3" s="34"/>
      <c r="D3" s="4" t="s">
        <v>22</v>
      </c>
      <c r="E3" s="4" t="s">
        <v>23</v>
      </c>
      <c r="F3" s="4" t="s">
        <v>24</v>
      </c>
      <c r="G3" s="4" t="s">
        <v>25</v>
      </c>
      <c r="H3" s="11" t="s">
        <v>26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0"/>
    </row>
    <row r="4" spans="1:14" ht="14.4" customHeight="1" x14ac:dyDescent="0.3">
      <c r="A4" s="30" t="s">
        <v>1</v>
      </c>
      <c r="B4" s="30"/>
      <c r="C4" s="30"/>
      <c r="D4" s="62">
        <v>46710</v>
      </c>
      <c r="E4" s="62">
        <v>51217</v>
      </c>
      <c r="F4" s="63">
        <v>51362</v>
      </c>
      <c r="G4" s="63">
        <v>46309</v>
      </c>
      <c r="H4" s="64">
        <v>46398</v>
      </c>
      <c r="I4" s="23">
        <f>H4*(1+D29)</f>
        <v>47789.94</v>
      </c>
      <c r="J4" s="23">
        <f t="shared" ref="J4:M4" si="0">I4*(1+E29)</f>
        <v>49701.537600000003</v>
      </c>
      <c r="K4" s="23">
        <f t="shared" si="0"/>
        <v>51192.583728000005</v>
      </c>
      <c r="L4" s="23">
        <f t="shared" si="0"/>
        <v>52216.435402560004</v>
      </c>
      <c r="M4" s="23">
        <f t="shared" si="0"/>
        <v>53260.764110611206</v>
      </c>
    </row>
    <row r="5" spans="1:14" ht="14.4" customHeight="1" x14ac:dyDescent="0.3">
      <c r="A5" s="31" t="s">
        <v>2</v>
      </c>
      <c r="B5" s="31"/>
      <c r="C5" s="31"/>
      <c r="D5" s="65">
        <v>25231</v>
      </c>
      <c r="E5" s="65">
        <v>28925</v>
      </c>
      <c r="F5" s="66">
        <v>28475</v>
      </c>
      <c r="G5" s="66">
        <v>26519</v>
      </c>
      <c r="H5" s="67">
        <v>26487</v>
      </c>
      <c r="I5" s="19">
        <f>I4*D30</f>
        <v>26789.445872019915</v>
      </c>
      <c r="J5" s="19">
        <f t="shared" ref="J5:M5" si="1">J4*E30</f>
        <v>27861.023706900713</v>
      </c>
      <c r="K5" s="19">
        <f t="shared" si="1"/>
        <v>28696.854418107734</v>
      </c>
      <c r="L5" s="19">
        <f t="shared" si="1"/>
        <v>29270.791506469886</v>
      </c>
      <c r="M5" s="19">
        <f t="shared" si="1"/>
        <v>29856.207336599287</v>
      </c>
    </row>
    <row r="6" spans="1:14" ht="14.4" customHeight="1" x14ac:dyDescent="0.3">
      <c r="A6" s="33" t="s">
        <v>3</v>
      </c>
      <c r="B6" s="33"/>
      <c r="C6" s="33"/>
      <c r="D6" s="62">
        <v>21479</v>
      </c>
      <c r="E6" s="62">
        <v>22292</v>
      </c>
      <c r="F6" s="63">
        <v>22887</v>
      </c>
      <c r="G6" s="63">
        <v>19790</v>
      </c>
      <c r="H6" s="64">
        <v>19911</v>
      </c>
      <c r="I6" s="23">
        <f>I4-I5</f>
        <v>21000.494127980088</v>
      </c>
      <c r="J6" s="23">
        <f t="shared" ref="J6:M6" si="2">J4-J5</f>
        <v>21840.513893099291</v>
      </c>
      <c r="K6" s="23">
        <f t="shared" si="2"/>
        <v>22495.729309892271</v>
      </c>
      <c r="L6" s="23">
        <f t="shared" si="2"/>
        <v>22945.643896090118</v>
      </c>
      <c r="M6" s="23">
        <f t="shared" si="2"/>
        <v>23404.556774011919</v>
      </c>
    </row>
    <row r="7" spans="1:14" ht="14.4" customHeight="1" x14ac:dyDescent="0.3">
      <c r="A7" s="31" t="s">
        <v>4</v>
      </c>
      <c r="B7" s="31"/>
      <c r="C7" s="31"/>
      <c r="D7" s="65">
        <v>3850</v>
      </c>
      <c r="E7" s="65">
        <v>4060</v>
      </c>
      <c r="F7" s="66">
        <v>4285</v>
      </c>
      <c r="G7" s="66">
        <v>4689</v>
      </c>
      <c r="H7" s="67">
        <v>4754</v>
      </c>
      <c r="I7" s="19">
        <f>I4*D31</f>
        <v>4289.9823299592135</v>
      </c>
      <c r="J7" s="19">
        <f t="shared" ref="J7:M7" si="3">J4*E31</f>
        <v>4461.5816231575818</v>
      </c>
      <c r="K7" s="19">
        <f t="shared" si="3"/>
        <v>4595.4290718523098</v>
      </c>
      <c r="L7" s="19">
        <f t="shared" si="3"/>
        <v>4687.3376532893553</v>
      </c>
      <c r="M7" s="19">
        <f t="shared" si="3"/>
        <v>4781.0844063551431</v>
      </c>
    </row>
    <row r="8" spans="1:14" ht="14.4" customHeight="1" x14ac:dyDescent="0.3">
      <c r="A8" s="31" t="s">
        <v>5</v>
      </c>
      <c r="B8" s="31"/>
      <c r="C8" s="31"/>
      <c r="D8" s="65">
        <v>10954</v>
      </c>
      <c r="E8" s="65">
        <v>12317</v>
      </c>
      <c r="F8" s="66">
        <v>12291</v>
      </c>
      <c r="G8" s="66">
        <v>11399</v>
      </c>
      <c r="H8" s="67">
        <v>11360</v>
      </c>
      <c r="I8" s="19">
        <f>I4*D32</f>
        <v>11520.12626623974</v>
      </c>
      <c r="J8" s="19">
        <f t="shared" ref="J8:M8" si="4">J4*E32</f>
        <v>11980.93131688933</v>
      </c>
      <c r="K8" s="19">
        <f t="shared" si="4"/>
        <v>12340.35925639601</v>
      </c>
      <c r="L8" s="19">
        <f t="shared" si="4"/>
        <v>12587.16644152393</v>
      </c>
      <c r="M8" s="19">
        <f t="shared" si="4"/>
        <v>12838.909770354408</v>
      </c>
    </row>
    <row r="9" spans="1:14" ht="13.2" customHeight="1" x14ac:dyDescent="0.3">
      <c r="A9" s="32" t="s">
        <v>6</v>
      </c>
      <c r="B9" s="32"/>
      <c r="C9" s="32"/>
      <c r="D9" s="65">
        <v>14804</v>
      </c>
      <c r="E9" s="65">
        <v>16377</v>
      </c>
      <c r="F9" s="66">
        <v>16576</v>
      </c>
      <c r="G9" s="66">
        <v>16088</v>
      </c>
      <c r="H9" s="67">
        <v>16114</v>
      </c>
      <c r="I9" s="19">
        <f>I7+I8</f>
        <v>15810.108596198954</v>
      </c>
      <c r="J9" s="19">
        <f t="shared" ref="J9:M9" si="5">J7+J8</f>
        <v>16442.512940046912</v>
      </c>
      <c r="K9" s="19">
        <f t="shared" si="5"/>
        <v>16935.78832824832</v>
      </c>
      <c r="L9" s="19">
        <f t="shared" si="5"/>
        <v>17274.504094813285</v>
      </c>
      <c r="M9" s="19">
        <f t="shared" si="5"/>
        <v>17619.994176709552</v>
      </c>
    </row>
    <row r="10" spans="1:14" ht="14.4" customHeight="1" x14ac:dyDescent="0.3">
      <c r="A10" s="31" t="s">
        <v>7</v>
      </c>
      <c r="B10" s="31"/>
      <c r="C10" s="31"/>
      <c r="D10" s="65">
        <v>205</v>
      </c>
      <c r="E10" s="65">
        <v>-6</v>
      </c>
      <c r="F10" s="66">
        <v>-161</v>
      </c>
      <c r="G10" s="66">
        <v>-107</v>
      </c>
      <c r="H10" s="67">
        <v>-50</v>
      </c>
      <c r="I10" s="19">
        <f>I4*D33</f>
        <v>-79.330827021474633</v>
      </c>
      <c r="J10" s="19">
        <f t="shared" ref="J10:M10" si="6">J4*E33</f>
        <v>-82.504060102333625</v>
      </c>
      <c r="K10" s="19">
        <f t="shared" si="6"/>
        <v>-84.979181905403635</v>
      </c>
      <c r="L10" s="19">
        <f t="shared" si="6"/>
        <v>-86.678765543511702</v>
      </c>
      <c r="M10" s="19">
        <f t="shared" si="6"/>
        <v>-88.412340854381938</v>
      </c>
    </row>
    <row r="11" spans="1:14" ht="14.4" customHeight="1" x14ac:dyDescent="0.3">
      <c r="A11" s="31" t="s">
        <v>8</v>
      </c>
      <c r="B11" s="31"/>
      <c r="C11" s="31"/>
      <c r="D11" s="65">
        <v>-181</v>
      </c>
      <c r="E11" s="65">
        <v>-280</v>
      </c>
      <c r="F11" s="66">
        <v>-228</v>
      </c>
      <c r="G11" s="66">
        <v>-76</v>
      </c>
      <c r="H11" s="67">
        <v>-53</v>
      </c>
      <c r="I11" s="19">
        <f>I4*D34</f>
        <v>-158.32260219223318</v>
      </c>
      <c r="J11" s="19">
        <f t="shared" ref="J11:M11" si="7">J4*E34</f>
        <v>-164.65550627992249</v>
      </c>
      <c r="K11" s="19">
        <f t="shared" si="7"/>
        <v>-169.59517146832019</v>
      </c>
      <c r="L11" s="19">
        <f t="shared" si="7"/>
        <v>-172.98707489768657</v>
      </c>
      <c r="M11" s="19">
        <f t="shared" si="7"/>
        <v>-176.44681639564033</v>
      </c>
    </row>
    <row r="12" spans="1:14" ht="14.4" customHeight="1" x14ac:dyDescent="0.3">
      <c r="A12" s="30" t="s">
        <v>9</v>
      </c>
      <c r="B12" s="30"/>
      <c r="C12" s="30"/>
      <c r="D12" s="62">
        <v>6651</v>
      </c>
      <c r="E12" s="62">
        <v>6201</v>
      </c>
      <c r="F12" s="63">
        <v>6700</v>
      </c>
      <c r="G12" s="63">
        <v>3885</v>
      </c>
      <c r="H12" s="64">
        <v>3900</v>
      </c>
      <c r="I12" s="23">
        <f>I6-I9-I10-I11</f>
        <v>5428.0389609948415</v>
      </c>
      <c r="J12" s="23">
        <f t="shared" ref="J12:M12" si="8">J6-J9-J10-J11</f>
        <v>5645.1605194346348</v>
      </c>
      <c r="K12" s="23">
        <f t="shared" si="8"/>
        <v>5814.5153350176752</v>
      </c>
      <c r="L12" s="23">
        <f t="shared" si="8"/>
        <v>5930.8056417180314</v>
      </c>
      <c r="M12" s="23">
        <f t="shared" si="8"/>
        <v>6049.4217545523898</v>
      </c>
    </row>
    <row r="13" spans="1:14" ht="14.4" customHeight="1" x14ac:dyDescent="0.3">
      <c r="A13" s="31" t="s">
        <v>10</v>
      </c>
      <c r="B13" s="31"/>
      <c r="C13" s="31"/>
      <c r="D13" s="65">
        <v>605</v>
      </c>
      <c r="E13" s="65">
        <v>1131</v>
      </c>
      <c r="F13" s="66">
        <v>1000</v>
      </c>
      <c r="G13" s="66">
        <v>666</v>
      </c>
      <c r="H13" s="67">
        <v>792</v>
      </c>
      <c r="I13" s="19">
        <f>D35*I12</f>
        <v>1085.6077921989684</v>
      </c>
      <c r="J13" s="19">
        <f t="shared" ref="J13:M13" si="9">E35*J12</f>
        <v>1129.032103886927</v>
      </c>
      <c r="K13" s="19">
        <f t="shared" si="9"/>
        <v>1162.9030670035352</v>
      </c>
      <c r="L13" s="19">
        <f t="shared" si="9"/>
        <v>1186.1611283436064</v>
      </c>
      <c r="M13" s="19">
        <f t="shared" si="9"/>
        <v>1209.8843509104779</v>
      </c>
    </row>
    <row r="14" spans="1:14" ht="14.4" customHeight="1" x14ac:dyDescent="0.3">
      <c r="A14" s="30" t="s">
        <v>11</v>
      </c>
      <c r="B14" s="30"/>
      <c r="C14" s="30"/>
      <c r="D14" s="62">
        <v>6046</v>
      </c>
      <c r="E14" s="62">
        <v>5070</v>
      </c>
      <c r="F14" s="63">
        <v>5700</v>
      </c>
      <c r="G14" s="63">
        <v>3219</v>
      </c>
      <c r="H14" s="64">
        <v>3108</v>
      </c>
      <c r="I14" s="23">
        <f>I12-I13</f>
        <v>4342.4311687958734</v>
      </c>
      <c r="J14" s="23">
        <f t="shared" ref="J14:M14" si="10">J12-J13</f>
        <v>4516.1284155477078</v>
      </c>
      <c r="K14" s="23">
        <f t="shared" si="10"/>
        <v>4651.6122680141398</v>
      </c>
      <c r="L14" s="23">
        <f t="shared" si="10"/>
        <v>4744.6445133744255</v>
      </c>
      <c r="M14" s="23">
        <f t="shared" si="10"/>
        <v>4839.5374036419116</v>
      </c>
    </row>
    <row r="15" spans="1:14" x14ac:dyDescent="0.3">
      <c r="D15" s="68"/>
      <c r="E15" s="68"/>
      <c r="F15" s="68"/>
      <c r="G15" s="68"/>
      <c r="H15" s="68"/>
      <c r="I15" s="41"/>
      <c r="J15" s="41"/>
      <c r="K15" s="41"/>
      <c r="L15" s="41"/>
      <c r="M15" s="41"/>
    </row>
    <row r="16" spans="1:14" ht="14.4" customHeight="1" x14ac:dyDescent="0.3">
      <c r="A16" s="29" t="s">
        <v>12</v>
      </c>
      <c r="B16" s="29"/>
      <c r="C16" s="29"/>
      <c r="D16" s="69"/>
      <c r="E16" s="69"/>
      <c r="F16" s="70"/>
      <c r="G16" s="70"/>
      <c r="H16" s="71"/>
      <c r="I16" s="42"/>
      <c r="J16" s="43"/>
      <c r="K16" s="43"/>
      <c r="L16" s="42"/>
      <c r="M16" s="43"/>
    </row>
    <row r="17" spans="1:14" x14ac:dyDescent="0.3">
      <c r="A17" s="36" t="s">
        <v>13</v>
      </c>
      <c r="B17" s="36"/>
      <c r="C17" s="36"/>
      <c r="D17" s="72">
        <v>3.83</v>
      </c>
      <c r="E17" s="72">
        <v>3.27</v>
      </c>
      <c r="F17" s="73">
        <v>3.76</v>
      </c>
      <c r="G17" s="73">
        <v>2.17</v>
      </c>
      <c r="H17" s="74">
        <v>2.1</v>
      </c>
      <c r="I17" s="44">
        <f>I14/I21</f>
        <v>2.9822797660503308</v>
      </c>
      <c r="J17" s="44">
        <f t="shared" ref="J17:M17" si="11">J14/J21</f>
        <v>3.1521014224530051</v>
      </c>
      <c r="K17" s="44">
        <f t="shared" si="11"/>
        <v>3.2995587789701806</v>
      </c>
      <c r="L17" s="44">
        <f t="shared" si="11"/>
        <v>3.4203811382041827</v>
      </c>
      <c r="M17" s="44">
        <f t="shared" si="11"/>
        <v>3.5456277382136179</v>
      </c>
    </row>
    <row r="18" spans="1:14" ht="16.2" customHeight="1" x14ac:dyDescent="0.3">
      <c r="A18" s="36" t="s">
        <v>14</v>
      </c>
      <c r="B18" s="36"/>
      <c r="C18" s="36"/>
      <c r="D18" s="72">
        <v>3.75</v>
      </c>
      <c r="E18" s="72">
        <v>3.23</v>
      </c>
      <c r="F18" s="73">
        <v>3.73</v>
      </c>
      <c r="G18" s="73">
        <v>2.16</v>
      </c>
      <c r="H18" s="74">
        <v>2.1</v>
      </c>
      <c r="I18" s="44">
        <f>$I$14/I22</f>
        <v>2.9798633340994463</v>
      </c>
      <c r="J18" s="44">
        <f t="shared" ref="J18:M18" si="12">$I$14/J22</f>
        <v>3.0284109521541822</v>
      </c>
      <c r="K18" s="44">
        <f t="shared" si="12"/>
        <v>3.0777495028640556</v>
      </c>
      <c r="L18" s="44">
        <f t="shared" si="12"/>
        <v>3.1278918720201738</v>
      </c>
      <c r="M18" s="44">
        <f t="shared" si="12"/>
        <v>3.178851155347588</v>
      </c>
    </row>
    <row r="19" spans="1:14" x14ac:dyDescent="0.3">
      <c r="D19" s="72"/>
      <c r="E19" s="72"/>
      <c r="F19" s="72"/>
      <c r="G19" s="72"/>
      <c r="H19" s="75"/>
      <c r="I19" s="46"/>
      <c r="K19" s="12"/>
      <c r="L19" s="46"/>
    </row>
    <row r="20" spans="1:14" ht="14.4" customHeight="1" x14ac:dyDescent="0.3">
      <c r="A20" s="29" t="s">
        <v>16</v>
      </c>
      <c r="B20" s="29"/>
      <c r="C20" s="29"/>
      <c r="D20" s="76"/>
      <c r="E20" s="76"/>
      <c r="F20" s="77"/>
      <c r="G20" s="77"/>
      <c r="H20" s="78"/>
      <c r="I20" s="47"/>
      <c r="J20" s="43"/>
      <c r="K20" s="13"/>
      <c r="L20" s="47"/>
      <c r="M20" s="43"/>
    </row>
    <row r="21" spans="1:14" x14ac:dyDescent="0.3">
      <c r="A21" s="36" t="s">
        <v>13</v>
      </c>
      <c r="B21" s="36"/>
      <c r="C21" s="36"/>
      <c r="D21" s="79">
        <v>1578.8</v>
      </c>
      <c r="E21" s="79">
        <v>1551.6</v>
      </c>
      <c r="F21" s="80">
        <v>1517.6</v>
      </c>
      <c r="G21" s="80">
        <v>1484.9</v>
      </c>
      <c r="H21" s="81">
        <v>1479.8</v>
      </c>
      <c r="I21" s="21">
        <f>H21*(1+$D$36)</f>
        <v>1456.0777356401068</v>
      </c>
      <c r="J21" s="21">
        <f t="shared" ref="J21:M22" si="13">I21*(1+$D$36)</f>
        <v>1432.7357563365458</v>
      </c>
      <c r="K21" s="21">
        <f t="shared" si="13"/>
        <v>1409.7679658447989</v>
      </c>
      <c r="L21" s="21">
        <f t="shared" si="13"/>
        <v>1387.1683656475566</v>
      </c>
      <c r="M21" s="21">
        <f t="shared" si="13"/>
        <v>1364.9310533880807</v>
      </c>
    </row>
    <row r="22" spans="1:14" x14ac:dyDescent="0.3">
      <c r="A22" s="36" t="s">
        <v>14</v>
      </c>
      <c r="B22" s="36"/>
      <c r="C22" s="36"/>
      <c r="D22" s="79">
        <v>1610.8</v>
      </c>
      <c r="E22" s="79">
        <v>1569.8</v>
      </c>
      <c r="F22" s="80">
        <v>1529.7</v>
      </c>
      <c r="G22" s="80">
        <v>1487.6</v>
      </c>
      <c r="H22" s="81">
        <v>1481</v>
      </c>
      <c r="I22" s="21">
        <f>H22*(1+$D$36)</f>
        <v>1457.25849877213</v>
      </c>
      <c r="J22" s="21">
        <f t="shared" si="13"/>
        <v>1433.8975909815003</v>
      </c>
      <c r="K22" s="21">
        <f t="shared" si="13"/>
        <v>1410.9111754400237</v>
      </c>
      <c r="L22" s="21">
        <f t="shared" si="13"/>
        <v>1388.2932487660705</v>
      </c>
      <c r="M22" s="21">
        <f t="shared" si="13"/>
        <v>1366.0379038165613</v>
      </c>
    </row>
    <row r="23" spans="1:14" x14ac:dyDescent="0.3">
      <c r="A23" s="14"/>
      <c r="E23" s="48"/>
    </row>
    <row r="27" spans="1:14" ht="19.8" x14ac:dyDescent="0.3">
      <c r="A27" s="35" t="s">
        <v>147</v>
      </c>
      <c r="B27" s="35"/>
      <c r="C27" s="35"/>
      <c r="D27" s="35"/>
      <c r="E27" s="35"/>
      <c r="F27" s="35"/>
      <c r="G27" s="35"/>
      <c r="H27" s="35"/>
    </row>
    <row r="28" spans="1:14" ht="13.8" customHeight="1" x14ac:dyDescent="0.3">
      <c r="A28" s="37"/>
      <c r="B28" s="37"/>
      <c r="C28" s="37"/>
      <c r="D28" s="6">
        <v>2027</v>
      </c>
      <c r="E28" s="6">
        <v>2028</v>
      </c>
      <c r="F28" s="5">
        <v>2029</v>
      </c>
      <c r="G28" s="5">
        <v>2030</v>
      </c>
      <c r="H28" s="5">
        <v>2031</v>
      </c>
    </row>
    <row r="29" spans="1:14" x14ac:dyDescent="0.3">
      <c r="A29" s="49" t="s">
        <v>92</v>
      </c>
      <c r="B29" s="49"/>
      <c r="C29" s="49"/>
      <c r="D29" s="68">
        <v>0.03</v>
      </c>
      <c r="E29" s="68">
        <v>0.04</v>
      </c>
      <c r="F29" s="68">
        <v>0.03</v>
      </c>
      <c r="G29" s="68">
        <v>0.02</v>
      </c>
      <c r="H29" s="68">
        <v>0.02</v>
      </c>
      <c r="I29" s="16" t="s">
        <v>146</v>
      </c>
    </row>
    <row r="30" spans="1:14" x14ac:dyDescent="0.3">
      <c r="A30" s="49" t="s">
        <v>93</v>
      </c>
      <c r="B30" s="49"/>
      <c r="C30" s="49"/>
      <c r="D30" s="41" cm="1">
        <f t="array" ref="D30">SUM($D$5:$H$5/$D$4:$H$4)/COUNT($D$4:$H$4)</f>
        <v>0.56056663540527385</v>
      </c>
      <c r="E30" s="41" cm="1">
        <f t="array" ref="E30">SUM($D$5:$H$5/$D$4:$H$4)/COUNT($D$4:$H$4)</f>
        <v>0.56056663540527385</v>
      </c>
      <c r="F30" s="41" cm="1">
        <f t="array" ref="F30">SUM($D$5:$H$5/$D$4:$H$4)/COUNT($D$4:$H$4)</f>
        <v>0.56056663540527385</v>
      </c>
      <c r="G30" s="41" cm="1">
        <f t="array" ref="G30">SUM($D$5:$H$5/$D$4:$H$4)/COUNT($D$4:$H$4)</f>
        <v>0.56056663540527385</v>
      </c>
      <c r="H30" s="41" cm="1">
        <f t="array" ref="H30">SUM($D$5:$H$5/$D$4:$H$4)/COUNT($D$4:$H$4)</f>
        <v>0.56056663540527385</v>
      </c>
      <c r="J30" s="41"/>
      <c r="K30" s="41"/>
      <c r="L30" s="41"/>
      <c r="M30" s="41"/>
      <c r="N30" s="41"/>
    </row>
    <row r="31" spans="1:14" x14ac:dyDescent="0.3">
      <c r="A31" s="49" t="s">
        <v>94</v>
      </c>
      <c r="B31" s="49"/>
      <c r="C31" s="49"/>
      <c r="D31" s="41" cm="1">
        <f t="array" ref="D31">SUM($D$7:$H$7/$D$4:$H$4)/COUNT($D$4:$H$4)</f>
        <v>8.9767476794472084E-2</v>
      </c>
      <c r="E31" s="41" cm="1">
        <f t="array" ref="E31">SUM($D$7:$H$7/$D$4:$H$4)/COUNT($D$4:$H$4)</f>
        <v>8.9767476794472084E-2</v>
      </c>
      <c r="F31" s="41" cm="1">
        <f t="array" ref="F31">SUM($D$7:$H$7/$D$4:$H$4)/COUNT($D$4:$H$4)</f>
        <v>8.9767476794472084E-2</v>
      </c>
      <c r="G31" s="41" cm="1">
        <f t="array" ref="G31">SUM($D$7:$H$7/$D$4:$H$4)/COUNT($D$4:$H$4)</f>
        <v>8.9767476794472084E-2</v>
      </c>
      <c r="H31" s="41" cm="1">
        <f t="array" ref="H31">SUM($D$7:$H$7/$D$4:$H$4)/COUNT($D$4:$H$4)</f>
        <v>8.9767476794472084E-2</v>
      </c>
      <c r="K31" s="41"/>
      <c r="L31" s="41"/>
      <c r="M31" s="41"/>
      <c r="N31" s="41"/>
    </row>
    <row r="32" spans="1:14" x14ac:dyDescent="0.3">
      <c r="A32" s="49" t="s">
        <v>95</v>
      </c>
      <c r="B32" s="49"/>
      <c r="C32" s="49"/>
      <c r="D32" s="41" cm="1">
        <f t="array" ref="D32">SUM($D$8:$H$8/$D$4:$H$4)/COUNT($D$4:$H$4)</f>
        <v>0.24105755868786902</v>
      </c>
      <c r="E32" s="41" cm="1">
        <f t="array" ref="E32">SUM($D$8:$H$8/$D$4:$H$4)/COUNT($D$4:$H$4)</f>
        <v>0.24105755868786902</v>
      </c>
      <c r="F32" s="41" cm="1">
        <f t="array" ref="F32">SUM($D$8:$H$8/$D$4:$H$4)/COUNT($D$4:$H$4)</f>
        <v>0.24105755868786902</v>
      </c>
      <c r="G32" s="41" cm="1">
        <f t="array" ref="G32">SUM($D$8:$H$8/$D$4:$H$4)/COUNT($D$4:$H$4)</f>
        <v>0.24105755868786902</v>
      </c>
      <c r="H32" s="41" cm="1">
        <f t="array" ref="H32">SUM($D$8:$H$8/$D$4:$H$4)/COUNT($D$4:$H$4)</f>
        <v>0.24105755868786902</v>
      </c>
      <c r="J32" s="41"/>
      <c r="K32" s="41"/>
      <c r="L32" s="41"/>
      <c r="M32" s="41"/>
      <c r="N32" s="41"/>
    </row>
    <row r="33" spans="1:14" x14ac:dyDescent="0.3">
      <c r="A33" s="49" t="s">
        <v>99</v>
      </c>
      <c r="B33" s="49"/>
      <c r="C33" s="49"/>
      <c r="D33" s="41" cm="1">
        <f t="array" ref="D33">AVERAGE($E$10:$H$10/$E$4:$H$4)</f>
        <v>-1.6599900945988766E-3</v>
      </c>
      <c r="E33" s="41" cm="1">
        <f t="array" ref="E33">AVERAGE($E$10:$H$10/$E$4:$H$4)</f>
        <v>-1.6599900945988766E-3</v>
      </c>
      <c r="F33" s="41" cm="1">
        <f t="array" ref="F33">AVERAGE($E$10:$H$10/$E$4:$H$4)</f>
        <v>-1.6599900945988766E-3</v>
      </c>
      <c r="G33" s="41" cm="1">
        <f t="array" ref="G33">AVERAGE($E$10:$H$10/$E$4:$H$4)</f>
        <v>-1.6599900945988766E-3</v>
      </c>
      <c r="H33" s="41" cm="1">
        <f t="array" ref="H33">AVERAGE($E$10:$H$10/$E$4:$H$4)</f>
        <v>-1.6599900945988766E-3</v>
      </c>
      <c r="I33" s="41"/>
      <c r="J33" s="41"/>
      <c r="K33" s="41"/>
      <c r="L33" s="41"/>
      <c r="M33" s="41"/>
      <c r="N33" s="41"/>
    </row>
    <row r="34" spans="1:14" x14ac:dyDescent="0.3">
      <c r="A34" s="49" t="s">
        <v>98</v>
      </c>
      <c r="B34" s="49"/>
      <c r="C34" s="49"/>
      <c r="D34" s="41" cm="1">
        <f t="array" ref="D34">AVERAGE($D$11:$H$11/$D$4:$H$4)</f>
        <v>-3.3128855611083245E-3</v>
      </c>
      <c r="E34" s="41" cm="1">
        <f t="array" ref="E34">AVERAGE($D$11:$H$11/$D$4:$H$4)</f>
        <v>-3.3128855611083245E-3</v>
      </c>
      <c r="F34" s="41" cm="1">
        <f t="array" ref="F34">AVERAGE($D$11:$H$11/$D$4:$H$4)</f>
        <v>-3.3128855611083245E-3</v>
      </c>
      <c r="G34" s="41" cm="1">
        <f t="array" ref="G34">AVERAGE($D$11:$H$11/$D$4:$H$4)</f>
        <v>-3.3128855611083245E-3</v>
      </c>
      <c r="H34" s="41" cm="1">
        <f t="array" ref="H34">AVERAGE($D$11:$H$11/$D$4:$H$4)</f>
        <v>-3.3128855611083245E-3</v>
      </c>
      <c r="J34" s="41"/>
      <c r="K34" s="41"/>
      <c r="L34" s="41"/>
      <c r="M34" s="41"/>
      <c r="N34" s="41"/>
    </row>
    <row r="35" spans="1:14" x14ac:dyDescent="0.3">
      <c r="A35" s="49" t="s">
        <v>96</v>
      </c>
      <c r="B35" s="49"/>
      <c r="C35" s="49"/>
      <c r="D35" s="82">
        <v>0.2</v>
      </c>
      <c r="E35" s="82">
        <v>0.2</v>
      </c>
      <c r="F35" s="82">
        <v>0.2</v>
      </c>
      <c r="G35" s="82">
        <v>0.2</v>
      </c>
      <c r="H35" s="82">
        <v>0.2</v>
      </c>
      <c r="I35" s="16" t="s">
        <v>145</v>
      </c>
      <c r="J35" s="41"/>
      <c r="K35" s="41"/>
      <c r="L35" s="41"/>
      <c r="M35" s="41"/>
      <c r="N35" s="41"/>
    </row>
    <row r="36" spans="1:14" x14ac:dyDescent="0.3">
      <c r="A36" s="49" t="s">
        <v>97</v>
      </c>
      <c r="B36" s="49"/>
      <c r="C36" s="49"/>
      <c r="D36" s="41" cm="1">
        <f t="array" ref="D36">AVERAGE(($E$21:$H$21/$D$21:$G$21)-1)</f>
        <v>-1.6030723313889189E-2</v>
      </c>
      <c r="E36" s="41" cm="1">
        <f t="array" ref="E36">AVERAGE(($E$21:$H$21/$D$21:$G$21)-1)</f>
        <v>-1.6030723313889189E-2</v>
      </c>
      <c r="F36" s="41" cm="1">
        <f t="array" ref="F36">AVERAGE(($E$21:$H$21/$D$21:$G$21)-1)</f>
        <v>-1.6030723313889189E-2</v>
      </c>
      <c r="G36" s="41" cm="1">
        <f t="array" ref="G36">AVERAGE(($E$21:$H$21/$D$21:$G$21)-1)</f>
        <v>-1.6030723313889189E-2</v>
      </c>
      <c r="H36" s="41" cm="1">
        <f t="array" ref="H36">AVERAGE(($E$21:$H$21/$D$21:$G$21)-1)</f>
        <v>-1.6030723313889189E-2</v>
      </c>
      <c r="J36" s="41"/>
      <c r="K36" s="41"/>
      <c r="L36" s="41"/>
      <c r="M36" s="41"/>
      <c r="N36" s="41"/>
    </row>
    <row r="38" spans="1:14" x14ac:dyDescent="0.3">
      <c r="D38" s="41"/>
      <c r="E38" s="41"/>
      <c r="F38" s="41"/>
      <c r="G38" s="41"/>
      <c r="H38" s="41"/>
    </row>
    <row r="39" spans="1:14" x14ac:dyDescent="0.3">
      <c r="F39" s="41"/>
      <c r="G39" s="41"/>
      <c r="H39" s="41"/>
      <c r="I39" s="41"/>
      <c r="J39" s="41"/>
    </row>
  </sheetData>
  <mergeCells count="29">
    <mergeCell ref="A28:C28"/>
    <mergeCell ref="A34:C34"/>
    <mergeCell ref="A35:C35"/>
    <mergeCell ref="A36:C36"/>
    <mergeCell ref="A29:C29"/>
    <mergeCell ref="A30:C30"/>
    <mergeCell ref="A31:C31"/>
    <mergeCell ref="A32:C32"/>
    <mergeCell ref="A33:C33"/>
    <mergeCell ref="A4:C4"/>
    <mergeCell ref="A5:C5"/>
    <mergeCell ref="A3:C3"/>
    <mergeCell ref="A1:M1"/>
    <mergeCell ref="A27:H27"/>
    <mergeCell ref="A17:C17"/>
    <mergeCell ref="A18:C18"/>
    <mergeCell ref="A21:C21"/>
    <mergeCell ref="A22:C22"/>
    <mergeCell ref="A10:C10"/>
    <mergeCell ref="A11:C11"/>
    <mergeCell ref="A8:C8"/>
    <mergeCell ref="A9:C9"/>
    <mergeCell ref="A6:C6"/>
    <mergeCell ref="A7:C7"/>
    <mergeCell ref="A20:C20"/>
    <mergeCell ref="A16:C16"/>
    <mergeCell ref="A12:C12"/>
    <mergeCell ref="A13:C13"/>
    <mergeCell ref="A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DC9F-F2F7-423F-B1AD-594212FC61C9}">
  <dimension ref="A1:L73"/>
  <sheetViews>
    <sheetView zoomScale="90" zoomScaleNormal="90" workbookViewId="0">
      <pane xSplit="1" ySplit="3" topLeftCell="B35" activePane="bottomRight" state="frozen"/>
      <selection pane="topRight" activeCell="B1" sqref="B1"/>
      <selection pane="bottomLeft" activeCell="A4" sqref="A4"/>
      <selection pane="bottomRight" activeCell="G58" sqref="G58"/>
    </sheetView>
  </sheetViews>
  <sheetFormatPr defaultRowHeight="14.4" x14ac:dyDescent="0.3"/>
  <cols>
    <col min="1" max="1" width="47.77734375" style="39" customWidth="1"/>
    <col min="2" max="6" width="10.109375" style="39" customWidth="1"/>
    <col min="7" max="11" width="12.21875" style="39" bestFit="1" customWidth="1"/>
    <col min="12" max="16384" width="8.88671875" style="39"/>
  </cols>
  <sheetData>
    <row r="1" spans="1:11" ht="25.2" customHeight="1" x14ac:dyDescent="0.3">
      <c r="A1" s="35" t="s">
        <v>59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3" spans="1:11" ht="14.4" customHeight="1" x14ac:dyDescent="0.3">
      <c r="A3" s="50" t="s">
        <v>0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 x14ac:dyDescent="0.3">
      <c r="A4" s="1" t="s">
        <v>27</v>
      </c>
      <c r="B4" s="51"/>
      <c r="F4" s="52"/>
    </row>
    <row r="5" spans="1:11" x14ac:dyDescent="0.3">
      <c r="A5" s="1" t="s">
        <v>28</v>
      </c>
      <c r="B5" s="51"/>
      <c r="F5" s="52"/>
    </row>
    <row r="6" spans="1:11" x14ac:dyDescent="0.3">
      <c r="A6" s="39" t="s">
        <v>29</v>
      </c>
      <c r="B6" s="83">
        <v>8574</v>
      </c>
      <c r="C6" s="65">
        <v>7441</v>
      </c>
      <c r="D6" s="65">
        <v>9860</v>
      </c>
      <c r="E6" s="65">
        <v>7464</v>
      </c>
      <c r="F6" s="84">
        <v>7563</v>
      </c>
      <c r="G6" s="89">
        <f>'Statement of Cashflows'!G$39</f>
        <v>8353.6365312196267</v>
      </c>
      <c r="H6" s="89">
        <f>'Statement of Cashflows'!H$39</f>
        <v>8170.9078637040466</v>
      </c>
      <c r="I6" s="89">
        <f>'Statement of Cashflows'!I$39</f>
        <v>6928.6319960614001</v>
      </c>
      <c r="J6" s="89">
        <f>'Statement of Cashflows'!J$39</f>
        <v>4104.0542591259273</v>
      </c>
      <c r="K6" s="89">
        <f>'Statement of Cashflows'!K$39</f>
        <v>2592.9751757715185</v>
      </c>
    </row>
    <row r="7" spans="1:11" x14ac:dyDescent="0.3">
      <c r="A7" s="39" t="s">
        <v>30</v>
      </c>
      <c r="B7" s="83">
        <v>4423</v>
      </c>
      <c r="C7" s="65">
        <v>3234</v>
      </c>
      <c r="D7" s="65">
        <v>1722</v>
      </c>
      <c r="E7" s="65">
        <v>1687</v>
      </c>
      <c r="F7" s="84">
        <v>1464</v>
      </c>
      <c r="G7" s="21">
        <f>F7*(1+B53)</f>
        <v>1826.3173681822075</v>
      </c>
      <c r="H7" s="21">
        <f>G7*(1+C53)</f>
        <v>2278.3026839644708</v>
      </c>
      <c r="I7" s="21">
        <f>H7*(1+D53)</f>
        <v>2842.1473782106914</v>
      </c>
      <c r="J7" s="21">
        <f>I7*(1+E53)</f>
        <v>3545.5349178686552</v>
      </c>
      <c r="K7" s="21">
        <f>J7*(1+F53)</f>
        <v>4423.0000000000009</v>
      </c>
    </row>
    <row r="8" spans="1:11" x14ac:dyDescent="0.3">
      <c r="A8" s="39" t="s">
        <v>31</v>
      </c>
      <c r="B8" s="83">
        <v>4667</v>
      </c>
      <c r="C8" s="65">
        <v>4131</v>
      </c>
      <c r="D8" s="65">
        <v>4427</v>
      </c>
      <c r="E8" s="65">
        <v>4717</v>
      </c>
      <c r="F8" s="84">
        <v>5931</v>
      </c>
      <c r="G8" s="89">
        <f>'Income statement'!I4*(B50/365)</f>
        <v>4404.1124428976582</v>
      </c>
      <c r="H8" s="89">
        <f>'Income statement'!J4*(C50/365)</f>
        <v>4580.2769406135649</v>
      </c>
      <c r="I8" s="89">
        <f>'Income statement'!K4*(D50/365)</f>
        <v>4717.6852488319719</v>
      </c>
      <c r="J8" s="89">
        <f>'Income statement'!L4*(E50/365)</f>
        <v>4812.038953808611</v>
      </c>
      <c r="K8" s="89">
        <f>'Income statement'!M4*(F50/365)</f>
        <v>4908.2797328847837</v>
      </c>
    </row>
    <row r="9" spans="1:11" x14ac:dyDescent="0.3">
      <c r="A9" s="39" t="s">
        <v>32</v>
      </c>
      <c r="B9" s="83">
        <v>8420</v>
      </c>
      <c r="C9" s="65">
        <v>8454</v>
      </c>
      <c r="D9" s="65">
        <v>7519</v>
      </c>
      <c r="E9" s="65">
        <v>7489</v>
      </c>
      <c r="F9" s="84">
        <v>7501</v>
      </c>
      <c r="G9" s="89">
        <f>'Income statement'!I5*(B51/365)</f>
        <v>7513.9448788470845</v>
      </c>
      <c r="H9" s="89">
        <f>'Income statement'!J5*(C51/365)</f>
        <v>7814.502674000968</v>
      </c>
      <c r="I9" s="89">
        <f>'Income statement'!K5*(D51/365)</f>
        <v>8048.9377542209968</v>
      </c>
      <c r="J9" s="89">
        <f>'Income statement'!L5*(E51/365)</f>
        <v>8209.9165093054162</v>
      </c>
      <c r="K9" s="89">
        <f>'Income statement'!M5*(F51/365)</f>
        <v>8374.1148394915253</v>
      </c>
    </row>
    <row r="10" spans="1:11" x14ac:dyDescent="0.3">
      <c r="A10" s="39" t="s">
        <v>33</v>
      </c>
      <c r="B10" s="83">
        <v>2129</v>
      </c>
      <c r="C10" s="65">
        <v>1942</v>
      </c>
      <c r="D10" s="65">
        <v>1854</v>
      </c>
      <c r="E10" s="65">
        <v>2005</v>
      </c>
      <c r="F10" s="84">
        <v>2144</v>
      </c>
      <c r="G10" s="89">
        <f>B52*'Income statement'!I4</f>
        <v>1998.555563300476</v>
      </c>
      <c r="H10" s="89">
        <f>C52*'Income statement'!J4</f>
        <v>2078.4977858324951</v>
      </c>
      <c r="I10" s="89">
        <f>D52*'Income statement'!K4</f>
        <v>2140.85271940747</v>
      </c>
      <c r="J10" s="89">
        <f>E52*'Income statement'!L4</f>
        <v>2183.6697737956192</v>
      </c>
      <c r="K10" s="89">
        <f>F52*'Income statement'!M4</f>
        <v>2227.3431692715317</v>
      </c>
    </row>
    <row r="11" spans="1:11" x14ac:dyDescent="0.3">
      <c r="A11" s="1" t="s">
        <v>34</v>
      </c>
      <c r="B11" s="85">
        <v>28213</v>
      </c>
      <c r="C11" s="62">
        <v>25202</v>
      </c>
      <c r="D11" s="62">
        <v>25382</v>
      </c>
      <c r="E11" s="62">
        <v>23362</v>
      </c>
      <c r="F11" s="86">
        <v>24603</v>
      </c>
      <c r="G11" s="24">
        <f>SUM(G6:G10)</f>
        <v>24096.566784447055</v>
      </c>
      <c r="H11" s="24">
        <f t="shared" ref="H11:K11" si="0">SUM(H6:H10)</f>
        <v>24922.487948115548</v>
      </c>
      <c r="I11" s="24">
        <f t="shared" si="0"/>
        <v>24678.25509673253</v>
      </c>
      <c r="J11" s="24">
        <f t="shared" si="0"/>
        <v>22855.214413904228</v>
      </c>
      <c r="K11" s="24">
        <f t="shared" si="0"/>
        <v>22525.712917419361</v>
      </c>
    </row>
    <row r="12" spans="1:11" x14ac:dyDescent="0.3">
      <c r="A12" s="39" t="s">
        <v>35</v>
      </c>
      <c r="B12" s="83">
        <v>4791</v>
      </c>
      <c r="C12" s="65">
        <v>5081</v>
      </c>
      <c r="D12" s="65">
        <v>5000</v>
      </c>
      <c r="E12" s="65">
        <v>4828</v>
      </c>
      <c r="F12" s="84">
        <v>4796</v>
      </c>
      <c r="G12" s="89">
        <f>F12-'Statement of Cashflows'!G22-'Statement of Cashflows'!G7</f>
        <v>4772.8227001812529</v>
      </c>
      <c r="H12" s="89">
        <f>G12-'Statement of Cashflows'!H22-'Statement of Cashflows'!H7</f>
        <v>4748.7183083697555</v>
      </c>
      <c r="I12" s="89">
        <f>H12-'Statement of Cashflows'!I22-'Statement of Cashflows'!I7</f>
        <v>4723.8907848039134</v>
      </c>
      <c r="J12" s="89">
        <f>I12-'Statement of Cashflows'!J22-'Statement of Cashflows'!J7</f>
        <v>4698.5667107667541</v>
      </c>
      <c r="K12" s="89">
        <f>J12-'Statement of Cashflows'!K22-'Statement of Cashflows'!K7</f>
        <v>4672.7361552488519</v>
      </c>
    </row>
    <row r="13" spans="1:11" x14ac:dyDescent="0.3">
      <c r="A13" s="39" t="s">
        <v>36</v>
      </c>
      <c r="B13" s="83">
        <v>2926</v>
      </c>
      <c r="C13" s="65">
        <v>2923</v>
      </c>
      <c r="D13" s="65">
        <v>2718</v>
      </c>
      <c r="E13" s="65">
        <v>2712</v>
      </c>
      <c r="F13" s="84">
        <v>2838</v>
      </c>
      <c r="G13" s="89">
        <f>B56*'Income statement'!I4</f>
        <v>2794.380893210161</v>
      </c>
      <c r="H13" s="89">
        <f>C56*'Income statement'!J4</f>
        <v>2906.1561289385677</v>
      </c>
      <c r="I13" s="89">
        <f>D56*'Income statement'!K4</f>
        <v>2993.3408128067249</v>
      </c>
      <c r="J13" s="89">
        <f>E56*'Income statement'!L4</f>
        <v>3053.2076290628593</v>
      </c>
      <c r="K13" s="89">
        <f>F56*'Income statement'!M4</f>
        <v>3114.2717816441163</v>
      </c>
    </row>
    <row r="14" spans="1:11" x14ac:dyDescent="0.3">
      <c r="A14" s="39" t="s">
        <v>37</v>
      </c>
      <c r="B14" s="83">
        <v>286</v>
      </c>
      <c r="C14" s="65">
        <v>274</v>
      </c>
      <c r="D14" s="65">
        <v>259</v>
      </c>
      <c r="E14" s="65">
        <v>259</v>
      </c>
      <c r="F14" s="84">
        <v>259</v>
      </c>
      <c r="G14" s="21">
        <f>$F$14</f>
        <v>259</v>
      </c>
      <c r="H14" s="21">
        <f t="shared" ref="H14:K14" si="1">$F$14</f>
        <v>259</v>
      </c>
      <c r="I14" s="21">
        <f t="shared" si="1"/>
        <v>259</v>
      </c>
      <c r="J14" s="21">
        <f t="shared" si="1"/>
        <v>259</v>
      </c>
      <c r="K14" s="21">
        <f t="shared" si="1"/>
        <v>259</v>
      </c>
    </row>
    <row r="15" spans="1:11" x14ac:dyDescent="0.3">
      <c r="A15" s="39" t="s">
        <v>38</v>
      </c>
      <c r="B15" s="83">
        <v>284</v>
      </c>
      <c r="C15" s="65">
        <v>281</v>
      </c>
      <c r="D15" s="65">
        <v>240</v>
      </c>
      <c r="E15" s="65">
        <v>240</v>
      </c>
      <c r="F15" s="84">
        <v>240</v>
      </c>
      <c r="G15" s="21">
        <f>$F$15</f>
        <v>240</v>
      </c>
      <c r="H15" s="21">
        <f t="shared" ref="H15:K15" si="2">$F$15</f>
        <v>240</v>
      </c>
      <c r="I15" s="21">
        <f t="shared" si="2"/>
        <v>240</v>
      </c>
      <c r="J15" s="21">
        <f t="shared" si="2"/>
        <v>240</v>
      </c>
      <c r="K15" s="21">
        <f t="shared" si="2"/>
        <v>240</v>
      </c>
    </row>
    <row r="16" spans="1:11" x14ac:dyDescent="0.3">
      <c r="A16" s="39" t="s">
        <v>39</v>
      </c>
      <c r="B16" s="83">
        <v>3821</v>
      </c>
      <c r="C16" s="65">
        <v>3770</v>
      </c>
      <c r="D16" s="65">
        <v>4511</v>
      </c>
      <c r="E16" s="65">
        <v>5178</v>
      </c>
      <c r="F16" s="84">
        <v>5674</v>
      </c>
      <c r="G16" s="89">
        <f>B57*'Income statement'!I4</f>
        <v>5593.8124770000004</v>
      </c>
      <c r="H16" s="89">
        <f>C57*'Income statement'!J4</f>
        <v>5817.5649760800006</v>
      </c>
      <c r="I16" s="89">
        <f>D57*'Income statement'!K4</f>
        <v>5992.0919253624006</v>
      </c>
      <c r="J16" s="89">
        <f>E57*'Income statement'!L4</f>
        <v>6111.9337638696488</v>
      </c>
      <c r="K16" s="89">
        <f>F57*'Income statement'!M4</f>
        <v>6234.1724391470416</v>
      </c>
    </row>
    <row r="17" spans="1:11" x14ac:dyDescent="0.3">
      <c r="A17" s="1" t="s">
        <v>40</v>
      </c>
      <c r="B17" s="85">
        <v>40321</v>
      </c>
      <c r="C17" s="62">
        <v>37531</v>
      </c>
      <c r="D17" s="62">
        <v>38110</v>
      </c>
      <c r="E17" s="62">
        <v>36579</v>
      </c>
      <c r="F17" s="86">
        <v>38410</v>
      </c>
      <c r="G17" s="24">
        <f>SUM(G11:G16)</f>
        <v>37756.582854838467</v>
      </c>
      <c r="H17" s="24">
        <f t="shared" ref="H17:K17" si="3">SUM(H11:H16)</f>
        <v>38893.927361503869</v>
      </c>
      <c r="I17" s="24">
        <f t="shared" si="3"/>
        <v>38886.578619705571</v>
      </c>
      <c r="J17" s="24">
        <f t="shared" si="3"/>
        <v>37217.922517603496</v>
      </c>
      <c r="K17" s="24">
        <f t="shared" si="3"/>
        <v>37045.893293459369</v>
      </c>
    </row>
    <row r="18" spans="1:11" x14ac:dyDescent="0.3">
      <c r="B18" s="83"/>
      <c r="C18" s="83"/>
      <c r="D18" s="83"/>
      <c r="E18" s="83"/>
      <c r="F18" s="83"/>
      <c r="G18" s="21"/>
      <c r="H18" s="21"/>
      <c r="I18" s="21"/>
      <c r="J18" s="21"/>
      <c r="K18" s="21"/>
    </row>
    <row r="19" spans="1:11" x14ac:dyDescent="0.3">
      <c r="A19" s="1" t="s">
        <v>41</v>
      </c>
      <c r="B19" s="83"/>
      <c r="C19" s="65"/>
      <c r="D19" s="65"/>
      <c r="E19" s="65"/>
      <c r="F19" s="84"/>
      <c r="G19" s="21"/>
      <c r="H19" s="21"/>
      <c r="I19" s="21"/>
      <c r="J19" s="21"/>
      <c r="K19" s="21"/>
    </row>
    <row r="20" spans="1:11" x14ac:dyDescent="0.3">
      <c r="A20" s="1" t="s">
        <v>42</v>
      </c>
      <c r="B20" s="83"/>
      <c r="C20" s="65"/>
      <c r="D20" s="65"/>
      <c r="E20" s="65"/>
      <c r="F20" s="84"/>
      <c r="G20" s="21"/>
      <c r="H20" s="21"/>
      <c r="I20" s="21"/>
      <c r="J20" s="21"/>
      <c r="K20" s="21"/>
    </row>
    <row r="21" spans="1:11" x14ac:dyDescent="0.3">
      <c r="A21" s="39" t="s">
        <v>43</v>
      </c>
      <c r="B21" s="83">
        <v>500</v>
      </c>
      <c r="C21" s="65" t="s">
        <v>114</v>
      </c>
      <c r="D21" s="65">
        <v>1000</v>
      </c>
      <c r="E21" s="65" t="s">
        <v>114</v>
      </c>
      <c r="F21" s="84">
        <v>2000</v>
      </c>
      <c r="G21" s="90">
        <f t="shared" ref="G21:H21" si="4">C71*-1</f>
        <v>0</v>
      </c>
      <c r="H21" s="90">
        <f t="shared" si="4"/>
        <v>0</v>
      </c>
      <c r="I21" s="90">
        <f>E71*-1</f>
        <v>1500</v>
      </c>
      <c r="J21" s="90">
        <f t="shared" ref="J21:K21" si="5">F71*-1</f>
        <v>0</v>
      </c>
      <c r="K21" s="90">
        <f t="shared" si="5"/>
        <v>0</v>
      </c>
    </row>
    <row r="22" spans="1:11" x14ac:dyDescent="0.3">
      <c r="A22" s="39" t="s">
        <v>44</v>
      </c>
      <c r="B22" s="83">
        <v>10</v>
      </c>
      <c r="C22" s="65">
        <v>6</v>
      </c>
      <c r="D22" s="65">
        <v>6</v>
      </c>
      <c r="E22" s="65" t="s">
        <v>114</v>
      </c>
      <c r="F22" s="84" t="s">
        <v>114</v>
      </c>
      <c r="G22" s="20" t="s">
        <v>114</v>
      </c>
      <c r="H22" s="20" t="s">
        <v>114</v>
      </c>
      <c r="I22" s="20" t="s">
        <v>114</v>
      </c>
      <c r="J22" s="20" t="s">
        <v>114</v>
      </c>
      <c r="K22" s="20" t="s">
        <v>114</v>
      </c>
    </row>
    <row r="23" spans="1:11" x14ac:dyDescent="0.3">
      <c r="A23" s="39" t="s">
        <v>45</v>
      </c>
      <c r="B23" s="83">
        <v>3358</v>
      </c>
      <c r="C23" s="65">
        <v>2862</v>
      </c>
      <c r="D23" s="65">
        <v>2851</v>
      </c>
      <c r="E23" s="65">
        <v>3479</v>
      </c>
      <c r="F23" s="84">
        <v>3600</v>
      </c>
      <c r="G23" s="89">
        <f>(B58/365)*'Income statement'!I5</f>
        <v>1800.2163165881775</v>
      </c>
      <c r="H23" s="89">
        <f>(C58/365)*'Income statement'!J5</f>
        <v>1872.2249692517048</v>
      </c>
      <c r="I23" s="89">
        <f>(D58/365)*'Income statement'!K5</f>
        <v>1928.3917183292558</v>
      </c>
      <c r="J23" s="89">
        <f>(E58/365)*'Income statement'!L5</f>
        <v>1966.9595526958408</v>
      </c>
      <c r="K23" s="89">
        <f>(F58/365)*'Income statement'!M5</f>
        <v>2006.2987437497579</v>
      </c>
    </row>
    <row r="24" spans="1:11" x14ac:dyDescent="0.3">
      <c r="A24" s="39" t="s">
        <v>46</v>
      </c>
      <c r="B24" s="83">
        <v>420</v>
      </c>
      <c r="C24" s="65">
        <v>425</v>
      </c>
      <c r="D24" s="65">
        <v>477</v>
      </c>
      <c r="E24" s="65">
        <v>502</v>
      </c>
      <c r="F24" s="84">
        <v>478</v>
      </c>
      <c r="G24" s="89">
        <f>B59*'Income statement'!I4</f>
        <v>456.09850706923248</v>
      </c>
      <c r="H24" s="89">
        <f>C59*'Income statement'!J4</f>
        <v>474.34244735200178</v>
      </c>
      <c r="I24" s="89">
        <f>D59*'Income statement'!K4</f>
        <v>488.57272077256187</v>
      </c>
      <c r="J24" s="89">
        <f>E59*'Income statement'!L4</f>
        <v>498.34417518801308</v>
      </c>
      <c r="K24" s="89">
        <f>F59*'Income statement'!M4</f>
        <v>508.31105869177338</v>
      </c>
    </row>
    <row r="25" spans="1:11" x14ac:dyDescent="0.3">
      <c r="A25" s="39" t="s">
        <v>47</v>
      </c>
      <c r="B25" s="83">
        <v>6220</v>
      </c>
      <c r="C25" s="65">
        <v>5723</v>
      </c>
      <c r="D25" s="65">
        <v>5725</v>
      </c>
      <c r="E25" s="65">
        <v>5916</v>
      </c>
      <c r="F25" s="84">
        <v>6092</v>
      </c>
      <c r="G25" s="89">
        <f>B60*'Income statement'!I4</f>
        <v>5882.1324583592232</v>
      </c>
      <c r="H25" s="89">
        <f>C60*'Income statement'!J4</f>
        <v>6117.4177566935914</v>
      </c>
      <c r="I25" s="89">
        <f>D60*'Income statement'!K4</f>
        <v>6300.9402893943998</v>
      </c>
      <c r="J25" s="89">
        <f>E60*'Income statement'!L4</f>
        <v>6426.9590951822875</v>
      </c>
      <c r="K25" s="89">
        <f>F60*'Income statement'!M4</f>
        <v>6555.4982770859333</v>
      </c>
    </row>
    <row r="26" spans="1:11" x14ac:dyDescent="0.3">
      <c r="A26" s="39" t="s">
        <v>48</v>
      </c>
      <c r="B26" s="83">
        <v>222</v>
      </c>
      <c r="C26" s="65">
        <v>240</v>
      </c>
      <c r="D26" s="65">
        <v>534</v>
      </c>
      <c r="E26" s="65">
        <v>669</v>
      </c>
      <c r="F26" s="84">
        <v>377</v>
      </c>
      <c r="G26" s="89">
        <f>B61*'Income statement'!I14</f>
        <v>2252.556568390492</v>
      </c>
      <c r="H26" s="89">
        <f>C61*'Income statement'!J14</f>
        <v>2342.6588311261112</v>
      </c>
      <c r="I26" s="89">
        <f>D61*'Income statement'!K14</f>
        <v>2412.9385960598952</v>
      </c>
      <c r="J26" s="89">
        <f>E61*'Income statement'!L14</f>
        <v>2461.1973679810944</v>
      </c>
      <c r="K26" s="89">
        <f>F61*'Income statement'!M14</f>
        <v>2510.421315340715</v>
      </c>
    </row>
    <row r="27" spans="1:11" x14ac:dyDescent="0.3">
      <c r="A27" s="1" t="s">
        <v>49</v>
      </c>
      <c r="B27" s="85">
        <v>10730</v>
      </c>
      <c r="C27" s="62">
        <v>9256</v>
      </c>
      <c r="D27" s="62">
        <v>10593</v>
      </c>
      <c r="E27" s="62">
        <v>10566</v>
      </c>
      <c r="F27" s="86">
        <v>12547</v>
      </c>
      <c r="G27" s="24">
        <f>SUM(G21:G26)</f>
        <v>10391.003850407125</v>
      </c>
      <c r="H27" s="24">
        <f t="shared" ref="H27:K27" si="6">SUM(H21:H26)</f>
        <v>10806.64400442341</v>
      </c>
      <c r="I27" s="24">
        <f t="shared" si="6"/>
        <v>12630.843324556114</v>
      </c>
      <c r="J27" s="24">
        <f t="shared" si="6"/>
        <v>11353.460191047236</v>
      </c>
      <c r="K27" s="24">
        <f t="shared" si="6"/>
        <v>11580.529394868179</v>
      </c>
    </row>
    <row r="28" spans="1:11" x14ac:dyDescent="0.3">
      <c r="A28" s="39" t="s">
        <v>50</v>
      </c>
      <c r="B28" s="83">
        <v>8920</v>
      </c>
      <c r="C28" s="65">
        <v>8927</v>
      </c>
      <c r="D28" s="65">
        <v>7903</v>
      </c>
      <c r="E28" s="65">
        <v>7961</v>
      </c>
      <c r="F28" s="84">
        <v>5942</v>
      </c>
      <c r="G28" s="21">
        <f>B73</f>
        <v>5942</v>
      </c>
      <c r="H28" s="21">
        <f>C73</f>
        <v>5942</v>
      </c>
      <c r="I28" s="21">
        <f>D73</f>
        <v>4442</v>
      </c>
      <c r="J28" s="21">
        <f>E73</f>
        <v>4442</v>
      </c>
      <c r="K28" s="21">
        <f>F73</f>
        <v>4442</v>
      </c>
    </row>
    <row r="29" spans="1:11" x14ac:dyDescent="0.3">
      <c r="A29" s="39" t="s">
        <v>51</v>
      </c>
      <c r="B29" s="83">
        <v>2777</v>
      </c>
      <c r="C29" s="65">
        <v>2786</v>
      </c>
      <c r="D29" s="65">
        <v>2566</v>
      </c>
      <c r="E29" s="65">
        <v>2550</v>
      </c>
      <c r="F29" s="84">
        <v>2613</v>
      </c>
      <c r="G29" s="89">
        <f>B62*'Income statement'!I4</f>
        <v>2630.2534023422495</v>
      </c>
      <c r="H29" s="89">
        <f>C62*'Income statement'!J4</f>
        <v>2735.4635384359399</v>
      </c>
      <c r="I29" s="89">
        <f>D62*'Income statement'!K4</f>
        <v>2817.5274445890182</v>
      </c>
      <c r="J29" s="89">
        <f>E62*'Income statement'!L4</f>
        <v>2873.8779934807981</v>
      </c>
      <c r="K29" s="89">
        <f>F62*'Income statement'!M4</f>
        <v>2931.3555533504145</v>
      </c>
    </row>
    <row r="30" spans="1:11" x14ac:dyDescent="0.3">
      <c r="A30" s="39" t="s">
        <v>52</v>
      </c>
      <c r="B30" s="83">
        <v>2613</v>
      </c>
      <c r="C30" s="65">
        <v>2558</v>
      </c>
      <c r="D30" s="65">
        <v>2618</v>
      </c>
      <c r="E30" s="65">
        <v>2289</v>
      </c>
      <c r="F30" s="84">
        <v>2443</v>
      </c>
      <c r="G30" s="89">
        <f>B63*'Income statement'!I4</f>
        <v>2474.9336576172277</v>
      </c>
      <c r="H30" s="89">
        <f>C63*'Income statement'!J4</f>
        <v>2573.9310039219172</v>
      </c>
      <c r="I30" s="89">
        <f>D63*'Income statement'!K4</f>
        <v>2651.1489340395747</v>
      </c>
      <c r="J30" s="89">
        <f>E63*'Income statement'!L4</f>
        <v>2704.171912720366</v>
      </c>
      <c r="K30" s="89">
        <f>F63*'Income statement'!M4</f>
        <v>2758.2553509747736</v>
      </c>
    </row>
    <row r="31" spans="1:11" x14ac:dyDescent="0.3">
      <c r="A31" s="1" t="s">
        <v>130</v>
      </c>
      <c r="B31" s="85">
        <f>SUM(B28:B30)</f>
        <v>14310</v>
      </c>
      <c r="C31" s="85">
        <f t="shared" ref="C31:K31" si="7">SUM(C28:C30)</f>
        <v>14271</v>
      </c>
      <c r="D31" s="85">
        <f t="shared" si="7"/>
        <v>13087</v>
      </c>
      <c r="E31" s="85">
        <f t="shared" si="7"/>
        <v>12800</v>
      </c>
      <c r="F31" s="85">
        <f t="shared" si="7"/>
        <v>10998</v>
      </c>
      <c r="G31" s="22">
        <f t="shared" si="7"/>
        <v>11047.187059959477</v>
      </c>
      <c r="H31" s="22">
        <f t="shared" si="7"/>
        <v>11251.394542357855</v>
      </c>
      <c r="I31" s="22">
        <f t="shared" si="7"/>
        <v>9910.6763786285919</v>
      </c>
      <c r="J31" s="22">
        <f t="shared" si="7"/>
        <v>10020.049906201164</v>
      </c>
      <c r="K31" s="22">
        <f t="shared" si="7"/>
        <v>10131.610904325189</v>
      </c>
    </row>
    <row r="32" spans="1:11" x14ac:dyDescent="0.3">
      <c r="A32" s="39" t="s">
        <v>129</v>
      </c>
      <c r="B32" s="79"/>
      <c r="C32" s="79"/>
      <c r="D32" s="79"/>
      <c r="E32" s="79"/>
      <c r="F32" s="84" t="s">
        <v>129</v>
      </c>
      <c r="G32" s="21"/>
      <c r="H32" s="21"/>
      <c r="I32" s="21"/>
      <c r="J32" s="21"/>
      <c r="K32" s="21"/>
    </row>
    <row r="33" spans="1:11" x14ac:dyDescent="0.3">
      <c r="A33" s="1" t="s">
        <v>53</v>
      </c>
      <c r="B33" s="83"/>
      <c r="C33" s="65"/>
      <c r="D33" s="65"/>
      <c r="E33" s="65"/>
      <c r="F33" s="84"/>
      <c r="G33" s="21"/>
      <c r="H33" s="21"/>
      <c r="I33" s="21"/>
      <c r="J33" s="21"/>
      <c r="K33" s="21"/>
    </row>
    <row r="34" spans="1:11" x14ac:dyDescent="0.3">
      <c r="A34" s="39" t="s">
        <v>122</v>
      </c>
      <c r="B34" s="83" t="s">
        <v>114</v>
      </c>
      <c r="C34" s="65" t="s">
        <v>114</v>
      </c>
      <c r="D34" s="65" t="s">
        <v>114</v>
      </c>
      <c r="E34" s="65" t="s">
        <v>114</v>
      </c>
      <c r="F34" s="84" t="s">
        <v>114</v>
      </c>
      <c r="G34" s="20" t="s">
        <v>114</v>
      </c>
      <c r="H34" s="20" t="s">
        <v>114</v>
      </c>
      <c r="I34" s="20" t="s">
        <v>114</v>
      </c>
      <c r="J34" s="20" t="s">
        <v>114</v>
      </c>
      <c r="K34" s="20" t="s">
        <v>114</v>
      </c>
    </row>
    <row r="35" spans="1:11" x14ac:dyDescent="0.3">
      <c r="A35" s="39" t="s">
        <v>121</v>
      </c>
      <c r="B35" s="83">
        <v>3</v>
      </c>
      <c r="C35" s="65">
        <v>3</v>
      </c>
      <c r="D35" s="65">
        <v>3</v>
      </c>
      <c r="E35" s="65">
        <v>3</v>
      </c>
      <c r="F35" s="84">
        <v>3</v>
      </c>
      <c r="G35" s="21">
        <f>$F$35</f>
        <v>3</v>
      </c>
      <c r="H35" s="21">
        <f t="shared" ref="H35:K35" si="8">$F$35</f>
        <v>3</v>
      </c>
      <c r="I35" s="21">
        <f t="shared" si="8"/>
        <v>3</v>
      </c>
      <c r="J35" s="21">
        <f t="shared" si="8"/>
        <v>3</v>
      </c>
      <c r="K35" s="21">
        <f t="shared" si="8"/>
        <v>3</v>
      </c>
    </row>
    <row r="36" spans="1:11" x14ac:dyDescent="0.3">
      <c r="A36" s="39" t="s">
        <v>54</v>
      </c>
      <c r="B36" s="83">
        <v>11484</v>
      </c>
      <c r="C36" s="65">
        <v>12412</v>
      </c>
      <c r="D36" s="65">
        <v>13409</v>
      </c>
      <c r="E36" s="65">
        <v>14195</v>
      </c>
      <c r="F36" s="84">
        <v>15158</v>
      </c>
      <c r="G36" s="89">
        <f>F36+'Statement of Cashflows'!G9+'Statement of Cashflows'!G30</f>
        <v>16412.714232608123</v>
      </c>
      <c r="H36" s="89">
        <f>G36+'Statement of Cashflows'!H9+'Statement of Cashflows'!H30</f>
        <v>17717.617034520568</v>
      </c>
      <c r="I36" s="89">
        <f>H36+'Statement of Cashflows'!I9+'Statement of Cashflows'!I30</f>
        <v>19061.666920490388</v>
      </c>
      <c r="J36" s="89">
        <f>I36+'Statement of Cashflows'!J9+'Statement of Cashflows'!J30</f>
        <v>20432.597804179604</v>
      </c>
      <c r="K36" s="89">
        <f>J36+'Statement of Cashflows'!K9+'Statement of Cashflows'!K30</f>
        <v>21830.947305542602</v>
      </c>
    </row>
    <row r="37" spans="1:11" x14ac:dyDescent="0.3">
      <c r="A37" s="39" t="s">
        <v>55</v>
      </c>
      <c r="B37" s="83">
        <v>318</v>
      </c>
      <c r="C37" s="65">
        <v>231</v>
      </c>
      <c r="D37" s="65">
        <v>53</v>
      </c>
      <c r="E37" s="65">
        <v>-258</v>
      </c>
      <c r="F37" s="84">
        <v>-141</v>
      </c>
      <c r="G37" s="89">
        <f>F37+'Statement of Cashflows'!G36</f>
        <v>-141</v>
      </c>
      <c r="H37" s="89">
        <f>G37+'Statement of Cashflows'!H36</f>
        <v>-141</v>
      </c>
      <c r="I37" s="89">
        <f>H37+'Statement of Cashflows'!I36</f>
        <v>-141</v>
      </c>
      <c r="J37" s="89">
        <f>I37+'Statement of Cashflows'!J36</f>
        <v>-141</v>
      </c>
      <c r="K37" s="89">
        <f>J37+'Statement of Cashflows'!K36</f>
        <v>-141</v>
      </c>
    </row>
    <row r="38" spans="1:11" x14ac:dyDescent="0.3">
      <c r="A38" s="39" t="s">
        <v>56</v>
      </c>
      <c r="B38" s="83">
        <v>3476</v>
      </c>
      <c r="C38" s="65">
        <v>1358</v>
      </c>
      <c r="D38" s="65">
        <v>965</v>
      </c>
      <c r="E38" s="65">
        <v>-727</v>
      </c>
      <c r="F38" s="84">
        <v>-155</v>
      </c>
      <c r="G38" s="89">
        <f>F38+'Income statement'!I14+'Statement of Cashflows'!G32+'Statement of Cashflows'!G31</f>
        <v>43.677711863743298</v>
      </c>
      <c r="H38" s="89">
        <f>G38+'Statement of Cashflows'!H31+'Income statement'!J14+'Statement of Cashflows'!H32</f>
        <v>-743.72821979796345</v>
      </c>
      <c r="I38" s="89">
        <f>H38+'Statement of Cashflows'!I31+'Income statement'!K14+'Statement of Cashflows'!I32</f>
        <v>-2578.6080039695216</v>
      </c>
      <c r="J38" s="89">
        <f>I38+'Statement of Cashflows'!J31+'Income statement'!L14+'Statement of Cashflows'!J32</f>
        <v>-4450.1853838245097</v>
      </c>
      <c r="K38" s="89">
        <f>J38+'Statement of Cashflows'!K31+'Income statement'!M14+'Statement of Cashflows'!K32</f>
        <v>-6359.1943112765985</v>
      </c>
    </row>
    <row r="39" spans="1:11" x14ac:dyDescent="0.3">
      <c r="A39" s="39" t="s">
        <v>57</v>
      </c>
      <c r="B39" s="83">
        <v>15281</v>
      </c>
      <c r="C39" s="65">
        <v>14004</v>
      </c>
      <c r="D39" s="65">
        <v>14430</v>
      </c>
      <c r="E39" s="65">
        <v>13213</v>
      </c>
      <c r="F39" s="84">
        <v>14865</v>
      </c>
      <c r="G39" s="21">
        <f>SUM(G34:G38)</f>
        <v>16318.391944471867</v>
      </c>
      <c r="H39" s="21">
        <f t="shared" ref="H39:K39" si="9">SUM(H34:H38)</f>
        <v>16835.888814722606</v>
      </c>
      <c r="I39" s="21">
        <f t="shared" si="9"/>
        <v>16345.058916520866</v>
      </c>
      <c r="J39" s="21">
        <f t="shared" si="9"/>
        <v>15844.412420355095</v>
      </c>
      <c r="K39" s="21">
        <f t="shared" si="9"/>
        <v>15333.752994266004</v>
      </c>
    </row>
    <row r="40" spans="1:11" x14ac:dyDescent="0.3">
      <c r="A40" s="1" t="s">
        <v>58</v>
      </c>
      <c r="B40" s="85">
        <v>40321</v>
      </c>
      <c r="C40" s="62">
        <v>37531</v>
      </c>
      <c r="D40" s="62">
        <v>38110</v>
      </c>
      <c r="E40" s="62">
        <v>36579</v>
      </c>
      <c r="F40" s="86">
        <v>38410</v>
      </c>
      <c r="G40" s="24">
        <f>G39+SUM(G27:G30)</f>
        <v>37756.582854838474</v>
      </c>
      <c r="H40" s="24">
        <f t="shared" ref="H40:K40" si="10">H39+SUM(H27:H30)</f>
        <v>38893.927361503869</v>
      </c>
      <c r="I40" s="24">
        <f t="shared" si="10"/>
        <v>38886.578619705571</v>
      </c>
      <c r="J40" s="24">
        <f t="shared" si="10"/>
        <v>37217.922517603496</v>
      </c>
      <c r="K40" s="24">
        <f t="shared" si="10"/>
        <v>37045.893293459376</v>
      </c>
    </row>
    <row r="41" spans="1:11" x14ac:dyDescent="0.3">
      <c r="A41" s="115"/>
      <c r="B41" s="116"/>
      <c r="C41" s="116"/>
      <c r="D41" s="116"/>
      <c r="E41" s="116"/>
      <c r="F41" s="116"/>
      <c r="G41" s="116"/>
      <c r="H41" s="116"/>
      <c r="I41" s="116"/>
      <c r="J41" s="116"/>
      <c r="K41" s="116"/>
    </row>
    <row r="42" spans="1:11" x14ac:dyDescent="0.3">
      <c r="A42" s="8" t="s">
        <v>88</v>
      </c>
      <c r="B42" s="21" t="str">
        <f>IF(ROUND(B40-B17,2)=0,"Check", "ERROR")</f>
        <v>Check</v>
      </c>
      <c r="C42" s="21" t="str">
        <f t="shared" ref="C42:K42" si="11">IF(ROUND(C40-C17,2)=0,"Check", "ERROR")</f>
        <v>Check</v>
      </c>
      <c r="D42" s="21" t="str">
        <f t="shared" si="11"/>
        <v>Check</v>
      </c>
      <c r="E42" s="21" t="str">
        <f t="shared" si="11"/>
        <v>Check</v>
      </c>
      <c r="F42" s="21" t="str">
        <f t="shared" si="11"/>
        <v>Check</v>
      </c>
      <c r="G42" s="21" t="str">
        <f t="shared" si="11"/>
        <v>Check</v>
      </c>
      <c r="H42" s="21" t="str">
        <f t="shared" si="11"/>
        <v>Check</v>
      </c>
      <c r="I42" s="21" t="str">
        <f t="shared" si="11"/>
        <v>Check</v>
      </c>
      <c r="J42" s="21" t="str">
        <f t="shared" si="11"/>
        <v>Check</v>
      </c>
      <c r="K42" s="21" t="str">
        <f t="shared" si="11"/>
        <v>Check</v>
      </c>
    </row>
    <row r="43" spans="1:11" x14ac:dyDescent="0.3">
      <c r="A43" s="25" t="s">
        <v>131</v>
      </c>
      <c r="B43" s="38">
        <f>B17-B40</f>
        <v>0</v>
      </c>
      <c r="C43" s="38">
        <f t="shared" ref="C43:K43" si="12">C17-C40</f>
        <v>0</v>
      </c>
      <c r="D43" s="38">
        <f t="shared" si="12"/>
        <v>0</v>
      </c>
      <c r="E43" s="38">
        <f t="shared" si="12"/>
        <v>0</v>
      </c>
      <c r="F43" s="38">
        <f t="shared" si="12"/>
        <v>0</v>
      </c>
      <c r="G43" s="38">
        <f>G17-G40</f>
        <v>0</v>
      </c>
      <c r="H43" s="38">
        <f t="shared" si="12"/>
        <v>0</v>
      </c>
      <c r="I43" s="38">
        <f t="shared" si="12"/>
        <v>0</v>
      </c>
      <c r="J43" s="38">
        <f t="shared" si="12"/>
        <v>0</v>
      </c>
      <c r="K43" s="38">
        <f t="shared" si="12"/>
        <v>0</v>
      </c>
    </row>
    <row r="44" spans="1:11" x14ac:dyDescent="0.3">
      <c r="B44" s="53"/>
      <c r="C44" s="53"/>
      <c r="D44" s="53"/>
      <c r="E44" s="53"/>
      <c r="F44" s="53"/>
      <c r="G44" s="53"/>
    </row>
    <row r="45" spans="1:11" x14ac:dyDescent="0.3">
      <c r="B45" s="53"/>
      <c r="C45" s="53"/>
      <c r="D45" s="53"/>
      <c r="E45" s="53"/>
      <c r="F45" s="53"/>
      <c r="G45" s="53"/>
    </row>
    <row r="46" spans="1:11" x14ac:dyDescent="0.3">
      <c r="B46" s="53"/>
      <c r="C46" s="53"/>
      <c r="D46" s="53"/>
      <c r="E46" s="53"/>
      <c r="F46" s="53"/>
      <c r="G46" s="53"/>
    </row>
    <row r="48" spans="1:11" ht="19.8" x14ac:dyDescent="0.3">
      <c r="A48" s="18" t="s">
        <v>115</v>
      </c>
      <c r="B48" s="18"/>
      <c r="C48" s="18"/>
      <c r="D48" s="18"/>
      <c r="E48" s="18"/>
      <c r="F48" s="18"/>
    </row>
    <row r="49" spans="1:12" x14ac:dyDescent="0.3">
      <c r="A49" s="1"/>
      <c r="B49" s="6">
        <v>2027</v>
      </c>
      <c r="C49" s="6">
        <v>2028</v>
      </c>
      <c r="D49" s="5">
        <v>2029</v>
      </c>
      <c r="E49" s="5">
        <v>2030</v>
      </c>
      <c r="F49" s="5">
        <v>2031</v>
      </c>
    </row>
    <row r="50" spans="1:12" x14ac:dyDescent="0.3">
      <c r="A50" s="39" t="s">
        <v>101</v>
      </c>
      <c r="B50" s="72" cm="1">
        <f t="array" ref="B50">AVERAGE($B$8:$E$8/'Income statement'!$D$4:$G$4)*365</f>
        <v>33.636808116052144</v>
      </c>
      <c r="C50" s="72" cm="1">
        <f t="array" ref="C50">AVERAGE($B$8:$E$8/'Income statement'!$D$4:$G$4)*365</f>
        <v>33.636808116052144</v>
      </c>
      <c r="D50" s="72" cm="1">
        <f t="array" ref="D50">AVERAGE($B$8:$E$8/'Income statement'!$D$4:$G$4)*365</f>
        <v>33.636808116052144</v>
      </c>
      <c r="E50" s="72" cm="1">
        <f t="array" ref="E50">AVERAGE($B$8:$E$8/'Income statement'!$D$4:$G$4)*365</f>
        <v>33.636808116052144</v>
      </c>
      <c r="F50" s="72" cm="1">
        <f t="array" ref="F50">AVERAGE($B$8:$E$8/'Income statement'!$D$4:$G$4)*365</f>
        <v>33.636808116052144</v>
      </c>
      <c r="G50" s="117" t="s">
        <v>148</v>
      </c>
      <c r="H50" s="45"/>
      <c r="I50" s="45"/>
      <c r="J50" s="45"/>
      <c r="K50" s="45"/>
    </row>
    <row r="51" spans="1:12" x14ac:dyDescent="0.3">
      <c r="A51" s="39" t="s">
        <v>100</v>
      </c>
      <c r="B51" s="72" cm="1">
        <f t="array" ref="B51">AVERAGE($C$9:$F$9/'Income statement'!$E$5:$H$5)*365</f>
        <v>102.37575998702042</v>
      </c>
      <c r="C51" s="72" cm="1">
        <f t="array" ref="C51">AVERAGE($C$9:$F$9/'Income statement'!$E$5:$H$5)*365</f>
        <v>102.37575998702042</v>
      </c>
      <c r="D51" s="72" cm="1">
        <f t="array" ref="D51">AVERAGE($C$9:$F$9/'Income statement'!$E$5:$H$5)*365</f>
        <v>102.37575998702042</v>
      </c>
      <c r="E51" s="72" cm="1">
        <f t="array" ref="E51">AVERAGE($C$9:$F$9/'Income statement'!$E$5:$H$5)*365</f>
        <v>102.37575998702042</v>
      </c>
      <c r="F51" s="72" cm="1">
        <f t="array" ref="F51">AVERAGE($C$9:$F$9/'Income statement'!$E$5:$H$5)*365</f>
        <v>102.37575998702042</v>
      </c>
      <c r="G51" s="117" t="s">
        <v>149</v>
      </c>
      <c r="H51" s="45"/>
      <c r="I51" s="45"/>
      <c r="J51" s="45"/>
      <c r="K51" s="45"/>
    </row>
    <row r="52" spans="1:12" x14ac:dyDescent="0.3">
      <c r="A52" s="7" t="s">
        <v>102</v>
      </c>
      <c r="B52" s="87" cm="1">
        <f t="array" ref="B52">AVERAGE($B$10:$F$10/'Income statement'!$D$4:$H$4)</f>
        <v>4.1819587203927769E-2</v>
      </c>
      <c r="C52" s="87" cm="1">
        <f t="array" ref="C52">AVERAGE($B$10:$F$10/'Income statement'!$D$4:$H$4)</f>
        <v>4.1819587203927769E-2</v>
      </c>
      <c r="D52" s="87" cm="1">
        <f t="array" ref="D52">AVERAGE($B$10:$F$10/'Income statement'!$D$4:$H$4)</f>
        <v>4.1819587203927769E-2</v>
      </c>
      <c r="E52" s="87" cm="1">
        <f t="array" ref="E52">AVERAGE($B$10:$F$10/'Income statement'!$D$4:$H$4)</f>
        <v>4.1819587203927769E-2</v>
      </c>
      <c r="F52" s="87" cm="1">
        <f t="array" ref="F52">AVERAGE($B$10:$F$10/'Income statement'!$D$4:$H$4)</f>
        <v>4.1819587203927769E-2</v>
      </c>
      <c r="H52" s="41"/>
      <c r="I52" s="41"/>
      <c r="J52" s="41"/>
      <c r="K52" s="41"/>
      <c r="L52" s="41"/>
    </row>
    <row r="53" spans="1:12" x14ac:dyDescent="0.3">
      <c r="A53" s="7" t="s">
        <v>103</v>
      </c>
      <c r="B53" s="54">
        <f>($B$7/$F$7)^(1/5)-1</f>
        <v>0.24748454110806528</v>
      </c>
      <c r="C53" s="54">
        <f t="shared" ref="C53:F53" si="13">($B$7/$F$7)^(1/5)-1</f>
        <v>0.24748454110806528</v>
      </c>
      <c r="D53" s="54">
        <f t="shared" si="13"/>
        <v>0.24748454110806528</v>
      </c>
      <c r="E53" s="54">
        <f t="shared" si="13"/>
        <v>0.24748454110806528</v>
      </c>
      <c r="F53" s="54">
        <f t="shared" si="13"/>
        <v>0.24748454110806528</v>
      </c>
      <c r="G53" s="16" t="s">
        <v>132</v>
      </c>
      <c r="H53" s="15"/>
      <c r="I53" s="15"/>
      <c r="J53" s="15"/>
      <c r="K53" s="15"/>
      <c r="L53" s="15"/>
    </row>
    <row r="54" spans="1:12" x14ac:dyDescent="0.3">
      <c r="A54" s="7" t="s">
        <v>104</v>
      </c>
      <c r="B54" s="87" cm="1">
        <f t="array" ref="B54">AVERAGE('Statement of Cashflows'!$B$22:$F$22/'Income statement'!$D$4:$H$4)*-1</f>
        <v>1.4996821579878481E-2</v>
      </c>
      <c r="C54" s="87" cm="1">
        <f t="array" ref="C54">AVERAGE('Statement of Cashflows'!$B$22:$F$22/'Income statement'!$D$4:$H$4)*-1</f>
        <v>1.4996821579878481E-2</v>
      </c>
      <c r="D54" s="87" cm="1">
        <f t="array" ref="D54">AVERAGE('Statement of Cashflows'!$B$22:$F$22/'Income statement'!$D$4:$H$4)*-1</f>
        <v>1.4996821579878481E-2</v>
      </c>
      <c r="E54" s="87" cm="1">
        <f t="array" ref="E54">AVERAGE('Statement of Cashflows'!$B$22:$F$22/'Income statement'!$D$4:$H$4)*-1</f>
        <v>1.4996821579878481E-2</v>
      </c>
      <c r="F54" s="87" cm="1">
        <f t="array" ref="F54">AVERAGE('Statement of Cashflows'!$B$22:$F$22/'Income statement'!$D$4:$H$4)*-1</f>
        <v>1.4996821579878481E-2</v>
      </c>
      <c r="G54" s="41"/>
      <c r="H54" s="41"/>
      <c r="I54" s="41"/>
      <c r="J54" s="41"/>
      <c r="K54" s="41"/>
      <c r="L54" s="41"/>
    </row>
    <row r="55" spans="1:12" x14ac:dyDescent="0.3">
      <c r="A55" s="7" t="s">
        <v>105</v>
      </c>
      <c r="B55" s="87" cm="1">
        <f t="array" ref="B55">AVERAGE(('Statement of Cashflows'!$B$7:$F$7)/'Income statement'!$D$4:$H$4)</f>
        <v>1.548180439883049E-2</v>
      </c>
      <c r="C55" s="87" cm="1">
        <f t="array" ref="C55">AVERAGE(('Statement of Cashflows'!$B$7:$F$7)/'Income statement'!$D$4:$H$4)</f>
        <v>1.548180439883049E-2</v>
      </c>
      <c r="D55" s="87" cm="1">
        <f t="array" ref="D55">AVERAGE(('Statement of Cashflows'!$B$7:$F$7)/'Income statement'!$D$4:$H$4)</f>
        <v>1.548180439883049E-2</v>
      </c>
      <c r="E55" s="87" cm="1">
        <f t="array" ref="E55">AVERAGE(('Statement of Cashflows'!$B$7:$F$7)/'Income statement'!$D$4:$H$4)</f>
        <v>1.548180439883049E-2</v>
      </c>
      <c r="F55" s="87" cm="1">
        <f t="array" ref="F55">AVERAGE(('Statement of Cashflows'!$B$7:$F$7)/'Income statement'!$D$4:$H$4)</f>
        <v>1.548180439883049E-2</v>
      </c>
      <c r="H55" s="41"/>
      <c r="I55" s="41"/>
      <c r="J55" s="41"/>
      <c r="K55" s="41"/>
      <c r="L55" s="41"/>
    </row>
    <row r="56" spans="1:12" x14ac:dyDescent="0.3">
      <c r="A56" s="7" t="s">
        <v>106</v>
      </c>
      <c r="B56" s="88" cm="1">
        <f t="array" ref="B56">AVERAGE($B$13:$F$13/'Income statement'!$D$4:$H$4)</f>
        <v>5.8472157387311242E-2</v>
      </c>
      <c r="C56" s="88" cm="1">
        <f t="array" ref="C56">AVERAGE($B$13:$F$13/'Income statement'!$D$4:$H$4)</f>
        <v>5.8472157387311242E-2</v>
      </c>
      <c r="D56" s="88" cm="1">
        <f t="array" ref="D56">AVERAGE($B$13:$F$13/'Income statement'!$D$4:$H$4)</f>
        <v>5.8472157387311242E-2</v>
      </c>
      <c r="E56" s="88" cm="1">
        <f t="array" ref="E56">AVERAGE($B$13:$F$13/'Income statement'!$D$4:$H$4)</f>
        <v>5.8472157387311242E-2</v>
      </c>
      <c r="F56" s="88" cm="1">
        <f t="array" ref="F56">AVERAGE($B$13:$F$13/'Income statement'!$D$4:$H$4)</f>
        <v>5.8472157387311242E-2</v>
      </c>
      <c r="H56" s="41"/>
      <c r="I56" s="41"/>
      <c r="J56" s="41"/>
      <c r="K56" s="41"/>
      <c r="L56" s="41"/>
    </row>
    <row r="57" spans="1:12" x14ac:dyDescent="0.3">
      <c r="A57" s="7" t="s">
        <v>107</v>
      </c>
      <c r="B57" s="41">
        <f>AVERAGE(11.18%,12.23%)</f>
        <v>0.11705</v>
      </c>
      <c r="C57" s="41">
        <f t="shared" ref="C57:F57" si="14">AVERAGE(11.18%,12.23%)</f>
        <v>0.11705</v>
      </c>
      <c r="D57" s="41">
        <f t="shared" si="14"/>
        <v>0.11705</v>
      </c>
      <c r="E57" s="41">
        <f t="shared" si="14"/>
        <v>0.11705</v>
      </c>
      <c r="F57" s="41">
        <f t="shared" si="14"/>
        <v>0.11705</v>
      </c>
      <c r="G57" s="16" t="s">
        <v>133</v>
      </c>
      <c r="H57" s="41"/>
      <c r="I57" s="41"/>
      <c r="J57" s="41"/>
      <c r="K57" s="41"/>
      <c r="L57" s="41"/>
    </row>
    <row r="58" spans="1:12" x14ac:dyDescent="0.3">
      <c r="A58" s="7" t="s">
        <v>113</v>
      </c>
      <c r="B58" s="114" cm="1">
        <f t="array" ref="B58">AVERAGE($B$23:$F$23/'Income statement'!$D$4:$H$4)*365</f>
        <v>24.527530681064487</v>
      </c>
      <c r="C58" s="114" cm="1">
        <f t="array" ref="C58">AVERAGE($B$23:$F$23/'Income statement'!$D$4:$H$4)*365</f>
        <v>24.527530681064487</v>
      </c>
      <c r="D58" s="114" cm="1">
        <f t="array" ref="D58">AVERAGE($B$23:$F$23/'Income statement'!$D$4:$H$4)*365</f>
        <v>24.527530681064487</v>
      </c>
      <c r="E58" s="114" cm="1">
        <f t="array" ref="E58">AVERAGE($B$23:$F$23/'Income statement'!$D$4:$H$4)*365</f>
        <v>24.527530681064487</v>
      </c>
      <c r="F58" s="114" cm="1">
        <f t="array" ref="F58">AVERAGE($B$23:$F$23/'Income statement'!$D$4:$H$4)*365</f>
        <v>24.527530681064487</v>
      </c>
      <c r="G58" s="72"/>
      <c r="H58" s="45"/>
      <c r="I58" s="45"/>
      <c r="J58" s="45"/>
      <c r="K58" s="45"/>
      <c r="L58" s="41"/>
    </row>
    <row r="59" spans="1:12" x14ac:dyDescent="0.3">
      <c r="A59" s="7" t="s">
        <v>108</v>
      </c>
      <c r="B59" s="87" cm="1">
        <f t="array" ref="B59">AVERAGE($B$24:$F$24/'Income statement'!$D$4:$H$4)</f>
        <v>9.5438183657320444E-3</v>
      </c>
      <c r="C59" s="87" cm="1">
        <f t="array" ref="C59">AVERAGE($B$24:$F$24/'Income statement'!$D$4:$H$4)</f>
        <v>9.5438183657320444E-3</v>
      </c>
      <c r="D59" s="87" cm="1">
        <f t="array" ref="D59">AVERAGE($B$24:$F$24/'Income statement'!$D$4:$H$4)</f>
        <v>9.5438183657320444E-3</v>
      </c>
      <c r="E59" s="87" cm="1">
        <f t="array" ref="E59">AVERAGE($B$24:$F$24/'Income statement'!$D$4:$H$4)</f>
        <v>9.5438183657320444E-3</v>
      </c>
      <c r="F59" s="87" cm="1">
        <f t="array" ref="F59">AVERAGE($B$24:$F$24/'Income statement'!$D$4:$H$4)</f>
        <v>9.5438183657320444E-3</v>
      </c>
      <c r="H59" s="41"/>
      <c r="I59" s="41"/>
      <c r="J59" s="41"/>
      <c r="K59" s="41"/>
      <c r="L59" s="41"/>
    </row>
    <row r="60" spans="1:12" x14ac:dyDescent="0.3">
      <c r="A60" s="7" t="s">
        <v>109</v>
      </c>
      <c r="B60" s="87" cm="1">
        <f t="array" ref="B60">AVERAGE($B$25:$F$25/'Income statement'!$D$4:$H$4)</f>
        <v>0.12308306849431538</v>
      </c>
      <c r="C60" s="87" cm="1">
        <f t="array" ref="C60">AVERAGE($B$25:$F$25/'Income statement'!$D$4:$H$4)</f>
        <v>0.12308306849431538</v>
      </c>
      <c r="D60" s="87" cm="1">
        <f t="array" ref="D60">AVERAGE($B$25:$F$25/'Income statement'!$D$4:$H$4)</f>
        <v>0.12308306849431538</v>
      </c>
      <c r="E60" s="87" cm="1">
        <f t="array" ref="E60">AVERAGE($B$25:$F$25/'Income statement'!$D$4:$H$4)</f>
        <v>0.12308306849431538</v>
      </c>
      <c r="F60" s="87" cm="1">
        <f t="array" ref="F60">AVERAGE($B$25:$F$25/'Income statement'!$D$4:$H$4)</f>
        <v>0.12308306849431538</v>
      </c>
      <c r="H60" s="41"/>
      <c r="I60" s="41"/>
      <c r="J60" s="41"/>
      <c r="K60" s="41"/>
      <c r="L60" s="41"/>
    </row>
    <row r="61" spans="1:12" x14ac:dyDescent="0.3">
      <c r="A61" s="7" t="s">
        <v>110</v>
      </c>
      <c r="B61" s="87" cm="1">
        <f t="array" ref="B61">AVERAGE($B$26:$F$26/'Income statement'!$D$13:$H$13)</f>
        <v>0.51873166915737445</v>
      </c>
      <c r="C61" s="87" cm="1">
        <f t="array" ref="C61">AVERAGE($B$26:$F$26/'Income statement'!$D$13:$H$13)</f>
        <v>0.51873166915737445</v>
      </c>
      <c r="D61" s="87" cm="1">
        <f t="array" ref="D61">AVERAGE($B$26:$F$26/'Income statement'!$D$13:$H$13)</f>
        <v>0.51873166915737445</v>
      </c>
      <c r="E61" s="87" cm="1">
        <f t="array" ref="E61">AVERAGE($B$26:$F$26/'Income statement'!$D$13:$H$13)</f>
        <v>0.51873166915737445</v>
      </c>
      <c r="F61" s="87" cm="1">
        <f t="array" ref="F61">AVERAGE($B$26:$F$26/'Income statement'!$D$13:$H$13)</f>
        <v>0.51873166915737445</v>
      </c>
      <c r="H61" s="41"/>
      <c r="I61" s="41"/>
      <c r="J61" s="41"/>
      <c r="K61" s="41"/>
      <c r="L61" s="41"/>
    </row>
    <row r="62" spans="1:12" x14ac:dyDescent="0.3">
      <c r="A62" s="7" t="s">
        <v>111</v>
      </c>
      <c r="B62" s="87" cm="1">
        <f t="array" ref="B62">AVERAGE($B$29:$F$29/'Income statement'!$D$4:$H$4)</f>
        <v>5.5037805076596655E-2</v>
      </c>
      <c r="C62" s="87" cm="1">
        <f t="array" ref="C62">AVERAGE($B$29:$F$29/'Income statement'!$D$4:$H$4)</f>
        <v>5.5037805076596655E-2</v>
      </c>
      <c r="D62" s="87" cm="1">
        <f t="array" ref="D62">AVERAGE($B$29:$F$29/'Income statement'!$D$4:$H$4)</f>
        <v>5.5037805076596655E-2</v>
      </c>
      <c r="E62" s="87" cm="1">
        <f t="array" ref="E62">AVERAGE($B$29:$F$29/'Income statement'!$D$4:$H$4)</f>
        <v>5.5037805076596655E-2</v>
      </c>
      <c r="F62" s="87" cm="1">
        <f t="array" ref="F62">AVERAGE($B$29:$F$29/'Income statement'!$D$4:$H$4)</f>
        <v>5.5037805076596655E-2</v>
      </c>
      <c r="H62" s="41"/>
      <c r="I62" s="41"/>
      <c r="J62" s="41"/>
      <c r="K62" s="41"/>
      <c r="L62" s="41"/>
    </row>
    <row r="63" spans="1:12" x14ac:dyDescent="0.3">
      <c r="A63" s="7" t="s">
        <v>112</v>
      </c>
      <c r="B63" s="87" cm="1">
        <f t="array" ref="B63">AVERAGE($B$30:$F$30/'Income statement'!$D$4:$H$4)</f>
        <v>5.1787754025580023E-2</v>
      </c>
      <c r="C63" s="87" cm="1">
        <f t="array" ref="C63">AVERAGE($B$30:$F$30/'Income statement'!$D$4:$H$4)</f>
        <v>5.1787754025580023E-2</v>
      </c>
      <c r="D63" s="87" cm="1">
        <f t="array" ref="D63">AVERAGE($B$30:$F$30/'Income statement'!$D$4:$H$4)</f>
        <v>5.1787754025580023E-2</v>
      </c>
      <c r="E63" s="87" cm="1">
        <f t="array" ref="E63">AVERAGE($B$30:$F$30/'Income statement'!$D$4:$H$4)</f>
        <v>5.1787754025580023E-2</v>
      </c>
      <c r="F63" s="87" cm="1">
        <f t="array" ref="F63">AVERAGE($B$30:$F$30/'Income statement'!$D$4:$H$4)</f>
        <v>5.1787754025580023E-2</v>
      </c>
      <c r="H63" s="41"/>
      <c r="I63" s="41"/>
      <c r="J63" s="41"/>
      <c r="K63" s="41"/>
      <c r="L63" s="41"/>
    </row>
    <row r="68" spans="1:6" ht="19.8" x14ac:dyDescent="0.3">
      <c r="A68" s="18" t="s">
        <v>116</v>
      </c>
      <c r="B68" s="18"/>
      <c r="C68" s="18"/>
      <c r="D68" s="18"/>
      <c r="E68" s="18"/>
      <c r="F68" s="18"/>
    </row>
    <row r="69" spans="1:6" x14ac:dyDescent="0.3">
      <c r="B69" s="6">
        <v>2027</v>
      </c>
      <c r="C69" s="6">
        <v>2028</v>
      </c>
      <c r="D69" s="5">
        <v>2029</v>
      </c>
      <c r="E69" s="5">
        <v>2030</v>
      </c>
      <c r="F69" s="5">
        <v>2031</v>
      </c>
    </row>
    <row r="70" spans="1:6" x14ac:dyDescent="0.3">
      <c r="A70" s="39" t="s">
        <v>117</v>
      </c>
      <c r="B70" s="55">
        <f>$F$28</f>
        <v>5942</v>
      </c>
      <c r="C70" s="39">
        <f>B$73</f>
        <v>5942</v>
      </c>
      <c r="D70" s="39">
        <f>C$73</f>
        <v>5942</v>
      </c>
      <c r="E70" s="39">
        <f>D$73</f>
        <v>4442</v>
      </c>
      <c r="F70" s="39">
        <f>E$73</f>
        <v>4442</v>
      </c>
    </row>
    <row r="71" spans="1:6" x14ac:dyDescent="0.3">
      <c r="A71" s="39" t="s">
        <v>118</v>
      </c>
      <c r="B71" s="99">
        <v>-2000</v>
      </c>
      <c r="C71" s="99">
        <v>0</v>
      </c>
      <c r="D71" s="99">
        <v>0</v>
      </c>
      <c r="E71" s="99">
        <v>-1500</v>
      </c>
      <c r="F71" s="99">
        <v>0</v>
      </c>
    </row>
    <row r="72" spans="1:6" x14ac:dyDescent="0.3">
      <c r="A72" s="39" t="s">
        <v>119</v>
      </c>
      <c r="B72" s="99">
        <v>0</v>
      </c>
      <c r="C72" s="99">
        <v>0</v>
      </c>
      <c r="D72" s="99">
        <v>0</v>
      </c>
      <c r="E72" s="99">
        <v>0</v>
      </c>
      <c r="F72" s="99">
        <v>0</v>
      </c>
    </row>
    <row r="73" spans="1:6" x14ac:dyDescent="0.3">
      <c r="A73" s="39" t="s">
        <v>120</v>
      </c>
      <c r="B73" s="55">
        <f>B70+C71+B72</f>
        <v>5942</v>
      </c>
      <c r="C73" s="55">
        <f t="shared" ref="C73:F73" si="15">C70+D71+C72</f>
        <v>5942</v>
      </c>
      <c r="D73" s="55">
        <f t="shared" si="15"/>
        <v>4442</v>
      </c>
      <c r="E73" s="55">
        <f t="shared" si="15"/>
        <v>4442</v>
      </c>
      <c r="F73" s="55">
        <f t="shared" si="15"/>
        <v>4442</v>
      </c>
    </row>
  </sheetData>
  <mergeCells count="1">
    <mergeCell ref="A1:K1"/>
  </mergeCells>
  <conditionalFormatting sqref="B42:K42">
    <cfRule type="containsText" dxfId="4" priority="3" operator="containsText" text="Check">
      <formula>NOT(ISERROR(SEARCH("Check",B42)))</formula>
    </cfRule>
    <cfRule type="containsText" dxfId="3" priority="4" operator="containsText" text="ERROR">
      <formula>NOT(ISERROR(SEARCH("ERROR",B42)))</formula>
    </cfRule>
    <cfRule type="containsText" dxfId="2" priority="5" operator="containsText" text="Correct">
      <formula>NOT(ISERROR(SEARCH("Correct",B42)))</formula>
    </cfRule>
  </conditionalFormatting>
  <pageMargins left="0.7" right="0.7" top="0.75" bottom="0.75" header="0.3" footer="0.3"/>
  <ignoredErrors>
    <ignoredError sqref="B31:K31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1B34254-F619-43BB-A1F8-BCB4FED9FAAC}">
            <xm:f>NOT(ISERROR(SEARCH("-",B43)))</xm:f>
            <xm:f>"-"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B43:K43</xm:sqref>
        </x14:conditionalFormatting>
        <x14:conditionalFormatting xmlns:xm="http://schemas.microsoft.com/office/excel/2006/main">
          <x14:cfRule type="containsText" priority="1" operator="containsText" id="{D0C9B7E4-3DC6-43F9-81A6-92BCD9FEA36A}">
            <xm:f>NOT(ISERROR(SEARCH("-",E43)))</xm:f>
            <xm:f>"-"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DC1C-111C-43CC-8A6E-3383FD5D2A1B}">
  <dimension ref="A1:P76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23" sqref="N23"/>
    </sheetView>
  </sheetViews>
  <sheetFormatPr defaultRowHeight="14.4" x14ac:dyDescent="0.3"/>
  <cols>
    <col min="1" max="1" width="91.109375" style="39" customWidth="1"/>
    <col min="2" max="16384" width="8.88671875" style="39"/>
  </cols>
  <sheetData>
    <row r="1" spans="1:12" ht="25.8" customHeight="1" x14ac:dyDescent="0.3">
      <c r="A1" s="18" t="s">
        <v>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2" x14ac:dyDescent="0.3">
      <c r="A3" s="56" t="s">
        <v>0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2" x14ac:dyDescent="0.3">
      <c r="A4" s="1" t="s">
        <v>89</v>
      </c>
      <c r="F4" s="52"/>
    </row>
    <row r="5" spans="1:12" x14ac:dyDescent="0.3">
      <c r="A5" s="39" t="s">
        <v>60</v>
      </c>
      <c r="B5" s="91">
        <v>6046</v>
      </c>
      <c r="C5" s="91">
        <v>5070</v>
      </c>
      <c r="D5" s="91">
        <v>5700</v>
      </c>
      <c r="E5" s="92">
        <v>3219</v>
      </c>
      <c r="F5" s="93">
        <v>3108</v>
      </c>
      <c r="G5" s="100">
        <f>'Income statement'!I14</f>
        <v>4342.4311687958734</v>
      </c>
      <c r="H5" s="100">
        <f>'Income statement'!J14</f>
        <v>4516.1284155477078</v>
      </c>
      <c r="I5" s="100">
        <f>'Income statement'!K14</f>
        <v>4651.6122680141398</v>
      </c>
      <c r="J5" s="100">
        <f>'Income statement'!L14</f>
        <v>4744.6445133744255</v>
      </c>
      <c r="K5" s="100">
        <f>'Income statement'!M14</f>
        <v>4839.5374036419116</v>
      </c>
    </row>
    <row r="6" spans="1:12" x14ac:dyDescent="0.3">
      <c r="A6" s="39" t="s">
        <v>61</v>
      </c>
      <c r="B6" s="92"/>
      <c r="C6" s="92"/>
      <c r="D6" s="92"/>
      <c r="E6" s="92"/>
      <c r="F6" s="94"/>
      <c r="G6" s="100"/>
      <c r="H6" s="100"/>
      <c r="I6" s="100"/>
      <c r="J6" s="100"/>
      <c r="K6" s="100"/>
    </row>
    <row r="7" spans="1:12" x14ac:dyDescent="0.3">
      <c r="A7" s="39" t="s">
        <v>127</v>
      </c>
      <c r="B7" s="92">
        <v>717</v>
      </c>
      <c r="C7" s="92">
        <v>703</v>
      </c>
      <c r="D7" s="92">
        <v>796</v>
      </c>
      <c r="E7" s="92">
        <v>775</v>
      </c>
      <c r="F7" s="94">
        <v>747</v>
      </c>
      <c r="G7" s="100">
        <f>'Balance Sheet'!B55*'Income statement'!I4</f>
        <v>739.87450331184516</v>
      </c>
      <c r="H7" s="100">
        <f>'Balance Sheet'!C55*'Income statement'!J4</f>
        <v>769.46948344431905</v>
      </c>
      <c r="I7" s="100">
        <f>'Balance Sheet'!D55*'Income statement'!K4</f>
        <v>792.55356794764862</v>
      </c>
      <c r="J7" s="100">
        <f>'Balance Sheet'!E55*'Income statement'!L4</f>
        <v>808.40463930660155</v>
      </c>
      <c r="K7" s="100">
        <f>'Balance Sheet'!F55*'Income statement'!M4</f>
        <v>824.57273209273365</v>
      </c>
    </row>
    <row r="8" spans="1:12" x14ac:dyDescent="0.3">
      <c r="A8" s="39" t="s">
        <v>62</v>
      </c>
      <c r="B8" s="92">
        <v>-650</v>
      </c>
      <c r="C8" s="92">
        <v>-117</v>
      </c>
      <c r="D8" s="92">
        <v>-497</v>
      </c>
      <c r="E8" s="92">
        <v>-288</v>
      </c>
      <c r="F8" s="92">
        <v>-96</v>
      </c>
      <c r="G8" s="100">
        <f>('Balance Sheet'!G16-'Balance Sheet'!F16)*-1</f>
        <v>80.187522999999601</v>
      </c>
      <c r="H8" s="100">
        <f>('Balance Sheet'!H16-'Balance Sheet'!G16)*-1</f>
        <v>-223.75249908000023</v>
      </c>
      <c r="I8" s="100">
        <f>('Balance Sheet'!I16-'Balance Sheet'!H16)*-1</f>
        <v>-174.52694928239998</v>
      </c>
      <c r="J8" s="100">
        <f>('Balance Sheet'!J16-'Balance Sheet'!I16)*-1</f>
        <v>-119.84183850724821</v>
      </c>
      <c r="K8" s="100">
        <f>('Balance Sheet'!K16-'Balance Sheet'!J16)*-1</f>
        <v>-122.23867527739276</v>
      </c>
    </row>
    <row r="9" spans="1:12" x14ac:dyDescent="0.3">
      <c r="A9" s="39" t="s">
        <v>63</v>
      </c>
      <c r="B9" s="92">
        <v>638</v>
      </c>
      <c r="C9" s="92">
        <v>755</v>
      </c>
      <c r="D9" s="92">
        <v>804</v>
      </c>
      <c r="E9" s="92">
        <v>709</v>
      </c>
      <c r="F9" s="94">
        <v>715</v>
      </c>
      <c r="G9" s="100">
        <f>B46*'Income statement'!I4</f>
        <v>714.68791060812089</v>
      </c>
      <c r="H9" s="100">
        <f>C46*'Income statement'!J4</f>
        <v>743.27542703244569</v>
      </c>
      <c r="I9" s="100">
        <f>D46*'Income statement'!K4</f>
        <v>765.57368984341906</v>
      </c>
      <c r="J9" s="100">
        <f>E46*'Income statement'!L4</f>
        <v>780.88516364028749</v>
      </c>
      <c r="K9" s="100">
        <f>F46*'Income statement'!M4</f>
        <v>796.50286691309327</v>
      </c>
    </row>
    <row r="10" spans="1:12" x14ac:dyDescent="0.3">
      <c r="A10" s="39" t="s">
        <v>64</v>
      </c>
      <c r="B10" s="92">
        <v>-26</v>
      </c>
      <c r="C10" s="92">
        <v>-213</v>
      </c>
      <c r="D10" s="92">
        <v>-138</v>
      </c>
      <c r="E10" s="92">
        <v>37</v>
      </c>
      <c r="F10" s="94">
        <v>22</v>
      </c>
      <c r="G10" s="100">
        <v>0</v>
      </c>
      <c r="H10" s="100">
        <v>0</v>
      </c>
      <c r="I10" s="100">
        <v>0</v>
      </c>
      <c r="J10" s="100">
        <v>0</v>
      </c>
      <c r="K10" s="100">
        <v>0</v>
      </c>
      <c r="L10" s="16" t="s">
        <v>143</v>
      </c>
    </row>
    <row r="11" spans="1:12" x14ac:dyDescent="0.3">
      <c r="A11" s="39" t="s">
        <v>65</v>
      </c>
      <c r="B11" s="92"/>
      <c r="C11" s="92"/>
      <c r="D11" s="92"/>
      <c r="E11" s="92"/>
      <c r="F11" s="94"/>
      <c r="G11" s="100"/>
      <c r="H11" s="100"/>
      <c r="I11" s="100"/>
      <c r="J11" s="100"/>
      <c r="K11" s="100"/>
    </row>
    <row r="12" spans="1:12" x14ac:dyDescent="0.3">
      <c r="A12" s="39" t="s">
        <v>66</v>
      </c>
      <c r="B12" s="92">
        <v>-504</v>
      </c>
      <c r="C12" s="92">
        <v>489</v>
      </c>
      <c r="D12" s="92">
        <v>-329</v>
      </c>
      <c r="E12" s="92">
        <v>-257</v>
      </c>
      <c r="F12" s="93">
        <v>-1207</v>
      </c>
      <c r="G12" s="100">
        <f>('Balance Sheet'!G8-'Balance Sheet'!F8)*-1</f>
        <v>1526.8875571023418</v>
      </c>
      <c r="H12" s="100">
        <f>('Balance Sheet'!H8-'Balance Sheet'!G8)*-1</f>
        <v>-176.16449771590669</v>
      </c>
      <c r="I12" s="100">
        <f>('Balance Sheet'!I8-'Balance Sheet'!H8)*-1</f>
        <v>-137.408308218407</v>
      </c>
      <c r="J12" s="100">
        <f>('Balance Sheet'!J8-'Balance Sheet'!I8)*-1</f>
        <v>-94.353704976639165</v>
      </c>
      <c r="K12" s="100">
        <f>('Balance Sheet'!K8-'Balance Sheet'!J8)*-1</f>
        <v>-96.240779076172657</v>
      </c>
    </row>
    <row r="13" spans="1:12" x14ac:dyDescent="0.3">
      <c r="A13" s="39" t="s">
        <v>67</v>
      </c>
      <c r="B13" s="91">
        <v>-1676</v>
      </c>
      <c r="C13" s="92">
        <v>-133</v>
      </c>
      <c r="D13" s="92">
        <v>908</v>
      </c>
      <c r="E13" s="92">
        <v>120</v>
      </c>
      <c r="F13" s="94">
        <v>-31</v>
      </c>
      <c r="G13" s="100">
        <f>('Balance Sheet'!G9-'Balance Sheet'!F9)*-1</f>
        <v>-12.94487884708451</v>
      </c>
      <c r="H13" s="100">
        <f>('Balance Sheet'!H9-'Balance Sheet'!G9)*-1</f>
        <v>-300.55779515388349</v>
      </c>
      <c r="I13" s="100">
        <f>('Balance Sheet'!I9-'Balance Sheet'!H9)*-1</f>
        <v>-234.43508022002879</v>
      </c>
      <c r="J13" s="100">
        <f>('Balance Sheet'!J9-'Balance Sheet'!I9)*-1</f>
        <v>-160.97875508441939</v>
      </c>
      <c r="K13" s="100">
        <f>('Balance Sheet'!K9-'Balance Sheet'!J9)*-1</f>
        <v>-164.19833018610916</v>
      </c>
    </row>
    <row r="14" spans="1:12" x14ac:dyDescent="0.3">
      <c r="A14" s="39" t="s">
        <v>138</v>
      </c>
      <c r="B14" s="92">
        <v>-845</v>
      </c>
      <c r="C14" s="92">
        <v>-644</v>
      </c>
      <c r="D14" s="92">
        <v>-260</v>
      </c>
      <c r="E14" s="92">
        <v>-224</v>
      </c>
      <c r="F14" s="94">
        <v>519</v>
      </c>
      <c r="G14" s="100">
        <f>-1*(SUM('Balance Sheet'!G10,'Balance Sheet'!G13)-SUM('Balance Sheet'!F10,'Balance Sheet'!F13))</f>
        <v>189.06354348936293</v>
      </c>
      <c r="H14" s="100">
        <f>-1*(SUM('Balance Sheet'!H10,'Balance Sheet'!H13)-SUM('Balance Sheet'!G10,'Balance Sheet'!G13))</f>
        <v>-191.7174582604257</v>
      </c>
      <c r="I14" s="100">
        <f>-1*(SUM('Balance Sheet'!I10,'Balance Sheet'!I13)-SUM('Balance Sheet'!H10,'Balance Sheet'!H13))</f>
        <v>-149.53961744313165</v>
      </c>
      <c r="J14" s="100">
        <f>-1*(SUM('Balance Sheet'!J10,'Balance Sheet'!J13)-SUM('Balance Sheet'!I10,'Balance Sheet'!I13))</f>
        <v>-102.68387064428407</v>
      </c>
      <c r="K14" s="100">
        <f>-1*(SUM('Balance Sheet'!K10,'Balance Sheet'!K13)-SUM('Balance Sheet'!J10,'Balance Sheet'!J13))</f>
        <v>-104.73754805716908</v>
      </c>
    </row>
    <row r="15" spans="1:12" x14ac:dyDescent="0.3">
      <c r="A15" s="39" t="s">
        <v>137</v>
      </c>
      <c r="B15" s="91">
        <v>1365</v>
      </c>
      <c r="C15" s="92">
        <v>-225</v>
      </c>
      <c r="D15" s="92">
        <v>397</v>
      </c>
      <c r="E15" s="92">
        <v>-426</v>
      </c>
      <c r="F15" s="94">
        <v>-959</v>
      </c>
      <c r="G15" s="100">
        <f>SUM('Balance Sheet'!G23:G26,'Balance Sheet'!G29,'Balance Sheet'!G30)-SUM('Balance Sheet'!F23:F26,'Balance Sheet'!F29,'Balance Sheet'!F30)</f>
        <v>-106.80908963339607</v>
      </c>
      <c r="H15" s="100">
        <f>SUM('Balance Sheet'!H23:H26,'Balance Sheet'!H29,'Balance Sheet'!H30)-SUM('Balance Sheet'!G23:G26,'Balance Sheet'!G29,'Balance Sheet'!G30)</f>
        <v>619.8476364146627</v>
      </c>
      <c r="I15" s="100">
        <f>SUM('Balance Sheet'!I23:I26,'Balance Sheet'!I29,'Balance Sheet'!I30)-SUM('Balance Sheet'!H23:H26,'Balance Sheet'!H29,'Balance Sheet'!H30)</f>
        <v>483.48115640343894</v>
      </c>
      <c r="J15" s="100">
        <f>SUM('Balance Sheet'!J23:J26,'Balance Sheet'!J29,'Balance Sheet'!J30)-SUM('Balance Sheet'!I23:I26,'Balance Sheet'!I29,'Balance Sheet'!I30)</f>
        <v>331.99039406369411</v>
      </c>
      <c r="K15" s="100">
        <f>SUM('Balance Sheet'!K23:K26,'Balance Sheet'!K29,'Balance Sheet'!K30)-SUM('Balance Sheet'!J23:J26,'Balance Sheet'!J29,'Balance Sheet'!J30)</f>
        <v>338.63020194496858</v>
      </c>
    </row>
    <row r="16" spans="1:12" x14ac:dyDescent="0.3">
      <c r="A16" s="1" t="s">
        <v>68</v>
      </c>
      <c r="B16" s="95">
        <v>5188</v>
      </c>
      <c r="C16" s="95">
        <v>5841</v>
      </c>
      <c r="D16" s="95">
        <v>7429</v>
      </c>
      <c r="E16" s="95">
        <v>3698</v>
      </c>
      <c r="F16" s="96">
        <v>2868</v>
      </c>
      <c r="G16" s="10">
        <f>SUM(G5:G15)</f>
        <v>7473.3782378270625</v>
      </c>
      <c r="H16" s="10">
        <f>SUM(H5:H15)</f>
        <v>5756.5287122289192</v>
      </c>
      <c r="I16" s="10">
        <f>SUM(I5:I15)</f>
        <v>5997.310727044679</v>
      </c>
      <c r="J16" s="10">
        <f>SUM(J5:J15)</f>
        <v>6188.0665411724185</v>
      </c>
      <c r="K16" s="10">
        <f>SUM(K5:K15)</f>
        <v>6311.8278719958635</v>
      </c>
    </row>
    <row r="17" spans="1:16" x14ac:dyDescent="0.3">
      <c r="B17" s="92"/>
      <c r="C17" s="92"/>
      <c r="D17" s="92"/>
      <c r="E17" s="92"/>
      <c r="F17" s="94"/>
      <c r="G17" s="48"/>
      <c r="H17" s="57"/>
      <c r="I17" s="57"/>
      <c r="J17" s="57"/>
      <c r="K17" s="57"/>
    </row>
    <row r="18" spans="1:16" x14ac:dyDescent="0.3">
      <c r="A18" s="1" t="s">
        <v>90</v>
      </c>
      <c r="B18" s="92"/>
      <c r="C18" s="92"/>
      <c r="D18" s="92"/>
      <c r="E18" s="92"/>
      <c r="F18" s="94"/>
      <c r="G18" s="48"/>
      <c r="H18" s="57"/>
      <c r="I18" s="57"/>
      <c r="J18" s="57"/>
      <c r="K18" s="57"/>
    </row>
    <row r="19" spans="1:16" x14ac:dyDescent="0.3">
      <c r="A19" s="39" t="s">
        <v>69</v>
      </c>
      <c r="B19" s="91">
        <v>-12913</v>
      </c>
      <c r="C19" s="91">
        <v>-6059</v>
      </c>
      <c r="D19" s="91">
        <v>-4767</v>
      </c>
      <c r="E19" s="91">
        <v>-3234</v>
      </c>
      <c r="F19" s="93">
        <v>-1316</v>
      </c>
      <c r="G19" s="100">
        <f>('Balance Sheet'!G7-'Balance Sheet'!F7)*-1</f>
        <v>-362.31736818220747</v>
      </c>
      <c r="H19" s="100">
        <f>('Balance Sheet'!H7-'Balance Sheet'!G7)*-1</f>
        <v>-451.98531578226334</v>
      </c>
      <c r="I19" s="100">
        <f>('Balance Sheet'!I7-'Balance Sheet'!H7)*-1</f>
        <v>-563.84469424622057</v>
      </c>
      <c r="J19" s="100">
        <f>('Balance Sheet'!J7-'Balance Sheet'!I7)*-1</f>
        <v>-703.38753965796377</v>
      </c>
      <c r="K19" s="100">
        <f>('Balance Sheet'!K7-'Balance Sheet'!J7)*-1</f>
        <v>-877.46508213134575</v>
      </c>
    </row>
    <row r="20" spans="1:16" x14ac:dyDescent="0.3">
      <c r="A20" s="39" t="s">
        <v>70</v>
      </c>
      <c r="B20" s="91">
        <v>8199</v>
      </c>
      <c r="C20" s="91">
        <v>3356</v>
      </c>
      <c r="D20" s="91">
        <v>2269</v>
      </c>
      <c r="E20" s="92">
        <v>319</v>
      </c>
      <c r="F20" s="94">
        <v>556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6" t="s">
        <v>134</v>
      </c>
    </row>
    <row r="21" spans="1:16" x14ac:dyDescent="0.3">
      <c r="A21" s="39" t="s">
        <v>71</v>
      </c>
      <c r="B21" s="91">
        <v>3967</v>
      </c>
      <c r="C21" s="91">
        <v>4184</v>
      </c>
      <c r="D21" s="91">
        <v>4219</v>
      </c>
      <c r="E21" s="91">
        <v>3062</v>
      </c>
      <c r="F21" s="93">
        <v>1021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6" t="s">
        <v>134</v>
      </c>
      <c r="M21" s="55"/>
      <c r="N21" s="55"/>
      <c r="O21" s="55"/>
      <c r="P21" s="55"/>
    </row>
    <row r="22" spans="1:16" x14ac:dyDescent="0.3">
      <c r="A22" s="39" t="s">
        <v>72</v>
      </c>
      <c r="B22" s="92">
        <v>-758</v>
      </c>
      <c r="C22" s="92">
        <v>-969</v>
      </c>
      <c r="D22" s="92">
        <v>-812</v>
      </c>
      <c r="E22" s="92">
        <v>-430</v>
      </c>
      <c r="F22" s="94">
        <v>-684</v>
      </c>
      <c r="G22" s="100">
        <f>('Income statement'!I4*'Balance Sheet'!B54)*-1</f>
        <v>-716.69720349309785</v>
      </c>
      <c r="H22" s="100">
        <f>('Income statement'!J4*'Balance Sheet'!C54)*-1</f>
        <v>-745.36509163282176</v>
      </c>
      <c r="I22" s="100">
        <f>('Income statement'!K4*'Balance Sheet'!D54)*-1</f>
        <v>-767.72604438180645</v>
      </c>
      <c r="J22" s="100">
        <f>('Income statement'!L4*'Balance Sheet'!E54)*-1</f>
        <v>-783.08056526944256</v>
      </c>
      <c r="K22" s="100">
        <f>('Income statement'!M4*'Balance Sheet'!F54)*-1</f>
        <v>-798.74217657483143</v>
      </c>
    </row>
    <row r="23" spans="1:16" x14ac:dyDescent="0.3">
      <c r="A23" s="39" t="s">
        <v>73</v>
      </c>
      <c r="B23" s="92">
        <v>-19</v>
      </c>
      <c r="C23" s="92">
        <v>52</v>
      </c>
      <c r="D23" s="92">
        <v>-15</v>
      </c>
      <c r="E23" s="92">
        <v>8</v>
      </c>
      <c r="F23" s="94">
        <v>-65</v>
      </c>
      <c r="G23" s="100">
        <v>0</v>
      </c>
      <c r="H23" s="100">
        <v>0</v>
      </c>
      <c r="I23" s="100">
        <v>0</v>
      </c>
      <c r="J23" s="100">
        <v>0</v>
      </c>
      <c r="K23" s="100">
        <v>0</v>
      </c>
      <c r="L23" s="16" t="s">
        <v>134</v>
      </c>
    </row>
    <row r="24" spans="1:16" x14ac:dyDescent="0.3">
      <c r="A24" s="1" t="s">
        <v>74</v>
      </c>
      <c r="B24" s="95">
        <v>-1524</v>
      </c>
      <c r="C24" s="97">
        <v>564</v>
      </c>
      <c r="D24" s="97">
        <v>894</v>
      </c>
      <c r="E24" s="97">
        <v>-275</v>
      </c>
      <c r="F24" s="98">
        <v>-488</v>
      </c>
      <c r="G24" s="10">
        <f>SUM(G19:G23)</f>
        <v>-1079.0145716753054</v>
      </c>
      <c r="H24" s="10">
        <f t="shared" ref="H24:K24" si="0">SUM(H19:H23)</f>
        <v>-1197.3504074150851</v>
      </c>
      <c r="I24" s="10">
        <f t="shared" si="0"/>
        <v>-1331.5707386280269</v>
      </c>
      <c r="J24" s="10">
        <f t="shared" si="0"/>
        <v>-1486.4681049274063</v>
      </c>
      <c r="K24" s="10">
        <f t="shared" si="0"/>
        <v>-1676.2072587061771</v>
      </c>
    </row>
    <row r="25" spans="1:16" x14ac:dyDescent="0.3">
      <c r="B25" s="91"/>
      <c r="C25" s="91"/>
      <c r="D25" s="91"/>
      <c r="E25" s="91"/>
      <c r="F25" s="91"/>
      <c r="G25" s="58"/>
      <c r="H25" s="58"/>
      <c r="I25" s="58"/>
      <c r="J25" s="58"/>
      <c r="K25" s="58"/>
    </row>
    <row r="26" spans="1:16" x14ac:dyDescent="0.3">
      <c r="A26" s="1" t="s">
        <v>91</v>
      </c>
      <c r="B26" s="92"/>
      <c r="C26" s="92"/>
      <c r="D26" s="99"/>
      <c r="E26" s="99"/>
      <c r="F26" s="99"/>
      <c r="G26" s="48"/>
      <c r="H26" s="57"/>
      <c r="I26" s="57"/>
      <c r="J26" s="57"/>
      <c r="K26" s="57"/>
    </row>
    <row r="27" spans="1:16" x14ac:dyDescent="0.3">
      <c r="A27" s="39" t="s">
        <v>75</v>
      </c>
      <c r="B27" s="92" t="s">
        <v>114</v>
      </c>
      <c r="C27" s="92" t="s">
        <v>114</v>
      </c>
      <c r="D27" s="92" t="s">
        <v>114</v>
      </c>
      <c r="E27" s="92" t="s">
        <v>114</v>
      </c>
      <c r="F27" s="92" t="s">
        <v>114</v>
      </c>
      <c r="G27" s="40" t="s">
        <v>114</v>
      </c>
      <c r="H27" s="40" t="s">
        <v>114</v>
      </c>
      <c r="I27" s="40" t="s">
        <v>114</v>
      </c>
      <c r="J27" s="40" t="s">
        <v>114</v>
      </c>
      <c r="K27" s="40" t="s">
        <v>114</v>
      </c>
    </row>
    <row r="28" spans="1:16" x14ac:dyDescent="0.3">
      <c r="A28" s="39" t="s">
        <v>76</v>
      </c>
      <c r="B28" s="92">
        <v>15</v>
      </c>
      <c r="C28" s="92">
        <v>-4</v>
      </c>
      <c r="D28" s="92" t="s">
        <v>114</v>
      </c>
      <c r="E28" s="99">
        <v>-1</v>
      </c>
      <c r="F28" s="93">
        <v>354</v>
      </c>
      <c r="G28" s="40" t="s">
        <v>114</v>
      </c>
      <c r="H28" s="40" t="s">
        <v>114</v>
      </c>
      <c r="I28" s="40" t="s">
        <v>114</v>
      </c>
      <c r="J28" s="40" t="s">
        <v>114</v>
      </c>
      <c r="K28" s="40" t="s">
        <v>114</v>
      </c>
    </row>
    <row r="29" spans="1:16" x14ac:dyDescent="0.3">
      <c r="A29" s="39" t="s">
        <v>77</v>
      </c>
      <c r="B29" s="92" t="s">
        <v>114</v>
      </c>
      <c r="C29" s="92">
        <v>-500</v>
      </c>
      <c r="D29" s="92" t="s">
        <v>114</v>
      </c>
      <c r="E29" s="91">
        <v>-1000</v>
      </c>
      <c r="F29" s="92" t="s">
        <v>114</v>
      </c>
      <c r="G29" s="102">
        <f>'Balance Sheet'!B71</f>
        <v>-2000</v>
      </c>
      <c r="H29" s="102">
        <f>'Balance Sheet'!C71</f>
        <v>0</v>
      </c>
      <c r="I29" s="102">
        <f>'Balance Sheet'!D71</f>
        <v>0</v>
      </c>
      <c r="J29" s="102">
        <f>'Balance Sheet'!E71</f>
        <v>-1500</v>
      </c>
      <c r="K29" s="102">
        <f>'Balance Sheet'!F71</f>
        <v>0</v>
      </c>
    </row>
    <row r="30" spans="1:16" x14ac:dyDescent="0.3">
      <c r="A30" s="39" t="s">
        <v>78</v>
      </c>
      <c r="B30" s="91">
        <v>1151</v>
      </c>
      <c r="C30" s="92">
        <v>651</v>
      </c>
      <c r="D30" s="92">
        <v>667</v>
      </c>
      <c r="E30" s="92">
        <v>551</v>
      </c>
      <c r="F30" s="94">
        <v>354</v>
      </c>
      <c r="G30" s="100">
        <f>B47*'Income statement'!I4</f>
        <v>540.02632199999994</v>
      </c>
      <c r="H30" s="100">
        <f>C47*'Income statement'!J4</f>
        <v>561.62737488000005</v>
      </c>
      <c r="I30" s="100">
        <f>D47*'Income statement'!K4</f>
        <v>578.47619612640005</v>
      </c>
      <c r="J30" s="100">
        <f>E47*'Income statement'!L4</f>
        <v>590.04572004892805</v>
      </c>
      <c r="K30" s="100">
        <f>F47*'Income statement'!M4</f>
        <v>601.84663444990656</v>
      </c>
    </row>
    <row r="31" spans="1:16" x14ac:dyDescent="0.3">
      <c r="A31" s="39" t="s">
        <v>79</v>
      </c>
      <c r="B31" s="91">
        <v>-4014</v>
      </c>
      <c r="C31" s="91">
        <v>-5480</v>
      </c>
      <c r="D31" s="91">
        <v>-4250</v>
      </c>
      <c r="E31" s="91">
        <v>-2985</v>
      </c>
      <c r="F31" s="94">
        <v>-146</v>
      </c>
      <c r="G31" s="100">
        <f>-1*(B48*'Income statement'!I4)</f>
        <v>-1911.5976000000001</v>
      </c>
      <c r="H31" s="100">
        <f>-1*(C48*'Income statement'!J4)</f>
        <v>-2982.0922559999999</v>
      </c>
      <c r="I31" s="100">
        <f>-1*(D48*'Income statement'!K4)</f>
        <v>-4095.4066982400004</v>
      </c>
      <c r="J31" s="100">
        <f>-1*(E48*'Income statement'!L4)</f>
        <v>-4177.3148322048</v>
      </c>
      <c r="K31" s="100">
        <f>-1*(F48*'Income statement'!M4)</f>
        <v>-4260.8611288488964</v>
      </c>
    </row>
    <row r="32" spans="1:16" x14ac:dyDescent="0.3">
      <c r="A32" s="39" t="s">
        <v>80</v>
      </c>
      <c r="B32" s="91">
        <v>-1837</v>
      </c>
      <c r="C32" s="91">
        <v>-2012</v>
      </c>
      <c r="D32" s="91">
        <v>-2169</v>
      </c>
      <c r="E32" s="91">
        <v>-2300</v>
      </c>
      <c r="F32" s="93">
        <v>-2407</v>
      </c>
      <c r="G32" s="100">
        <f>B49*'Income statement'!I14</f>
        <v>-2232.1558569321301</v>
      </c>
      <c r="H32" s="100">
        <f>C49*'Income statement'!J14</f>
        <v>-2321.4420912094147</v>
      </c>
      <c r="I32" s="100">
        <f>D49*'Income statement'!K14</f>
        <v>-2391.0853539456975</v>
      </c>
      <c r="J32" s="100">
        <f>E49*'Income statement'!L14</f>
        <v>-2438.9070610246131</v>
      </c>
      <c r="K32" s="100">
        <f>F49*'Income statement'!M14</f>
        <v>-2487.6852022451044</v>
      </c>
    </row>
    <row r="33" spans="1:13" x14ac:dyDescent="0.3">
      <c r="A33" s="39" t="s">
        <v>81</v>
      </c>
      <c r="B33" s="92">
        <v>-151</v>
      </c>
      <c r="C33" s="92">
        <v>-102</v>
      </c>
      <c r="D33" s="92">
        <v>-136</v>
      </c>
      <c r="E33" s="92">
        <v>-85</v>
      </c>
      <c r="F33" s="94">
        <v>-93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</row>
    <row r="34" spans="1:13" x14ac:dyDescent="0.3">
      <c r="A34" s="1" t="s">
        <v>82</v>
      </c>
      <c r="B34" s="95">
        <v>-4836</v>
      </c>
      <c r="C34" s="95">
        <v>-7447</v>
      </c>
      <c r="D34" s="95">
        <v>-5888</v>
      </c>
      <c r="E34" s="95">
        <v>-5820</v>
      </c>
      <c r="F34" s="96">
        <v>-2292</v>
      </c>
      <c r="G34" s="10">
        <f>SUM(G27:G33)</f>
        <v>-5603.7271349321309</v>
      </c>
      <c r="H34" s="10">
        <f t="shared" ref="H34:K34" si="1">SUM(H27:H33)</f>
        <v>-4741.9069723294142</v>
      </c>
      <c r="I34" s="10">
        <f t="shared" si="1"/>
        <v>-5908.0158560592981</v>
      </c>
      <c r="J34" s="10">
        <f t="shared" si="1"/>
        <v>-7526.1761731804854</v>
      </c>
      <c r="K34" s="10">
        <f t="shared" si="1"/>
        <v>-6146.6996966440947</v>
      </c>
    </row>
    <row r="35" spans="1:13" x14ac:dyDescent="0.3">
      <c r="B35" s="92"/>
      <c r="C35" s="92"/>
      <c r="D35" s="92"/>
      <c r="E35" s="92"/>
      <c r="F35" s="94"/>
      <c r="G35" s="48"/>
      <c r="H35" s="57"/>
      <c r="I35" s="57"/>
      <c r="J35" s="57"/>
      <c r="K35" s="57"/>
    </row>
    <row r="36" spans="1:13" x14ac:dyDescent="0.3">
      <c r="A36" s="39" t="s">
        <v>83</v>
      </c>
      <c r="B36" s="92">
        <v>-143</v>
      </c>
      <c r="C36" s="92">
        <v>-91</v>
      </c>
      <c r="D36" s="92">
        <v>-16</v>
      </c>
      <c r="E36" s="92">
        <v>1</v>
      </c>
      <c r="F36" s="94">
        <v>11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16" t="s">
        <v>152</v>
      </c>
    </row>
    <row r="37" spans="1:13" x14ac:dyDescent="0.3">
      <c r="A37" s="39" t="s">
        <v>84</v>
      </c>
      <c r="B37" s="91">
        <v>-1315</v>
      </c>
      <c r="C37" s="91">
        <v>-1133</v>
      </c>
      <c r="D37" s="91">
        <v>2419</v>
      </c>
      <c r="E37" s="91">
        <v>-2396</v>
      </c>
      <c r="F37" s="94">
        <v>99</v>
      </c>
      <c r="G37" s="48">
        <f>SUM(G34,G24,G16)</f>
        <v>790.6365312196267</v>
      </c>
      <c r="H37" s="48">
        <f t="shared" ref="H37:K37" si="2">SUM(H34,H24,H16)</f>
        <v>-182.72866751558013</v>
      </c>
      <c r="I37" s="48">
        <f t="shared" si="2"/>
        <v>-1242.2758676426465</v>
      </c>
      <c r="J37" s="48">
        <f t="shared" si="2"/>
        <v>-2824.5777369354728</v>
      </c>
      <c r="K37" s="48">
        <f t="shared" si="2"/>
        <v>-1511.0790833544088</v>
      </c>
    </row>
    <row r="38" spans="1:13" x14ac:dyDescent="0.3">
      <c r="A38" s="39" t="s">
        <v>85</v>
      </c>
      <c r="B38" s="91">
        <v>9889</v>
      </c>
      <c r="C38" s="91">
        <v>8574</v>
      </c>
      <c r="D38" s="91">
        <v>7441</v>
      </c>
      <c r="E38" s="91">
        <v>9860</v>
      </c>
      <c r="F38" s="93">
        <v>7464</v>
      </c>
      <c r="G38" s="48">
        <f>F39</f>
        <v>7563</v>
      </c>
      <c r="H38" s="48">
        <f t="shared" ref="H38:K38" si="3">G39</f>
        <v>8353.6365312196267</v>
      </c>
      <c r="I38" s="48">
        <f t="shared" si="3"/>
        <v>8170.9078637040466</v>
      </c>
      <c r="J38" s="48">
        <f t="shared" si="3"/>
        <v>6928.6319960614001</v>
      </c>
      <c r="K38" s="48">
        <f t="shared" si="3"/>
        <v>4104.0542591259273</v>
      </c>
    </row>
    <row r="39" spans="1:13" x14ac:dyDescent="0.3">
      <c r="A39" s="1" t="s">
        <v>86</v>
      </c>
      <c r="B39" s="95">
        <v>8574</v>
      </c>
      <c r="C39" s="95">
        <v>7441</v>
      </c>
      <c r="D39" s="95">
        <v>9860</v>
      </c>
      <c r="E39" s="97">
        <v>7464</v>
      </c>
      <c r="F39" s="96">
        <v>7563</v>
      </c>
      <c r="G39" s="10">
        <f>SUM(G36:G38)</f>
        <v>8353.6365312196267</v>
      </c>
      <c r="H39" s="10">
        <f t="shared" ref="H39:K39" si="4">SUM(H36:H38)</f>
        <v>8170.9078637040466</v>
      </c>
      <c r="I39" s="10">
        <f t="shared" si="4"/>
        <v>6928.6319960614001</v>
      </c>
      <c r="J39" s="10">
        <f t="shared" si="4"/>
        <v>4104.0542591259273</v>
      </c>
      <c r="K39" s="10">
        <f t="shared" si="4"/>
        <v>2592.9751757715185</v>
      </c>
    </row>
    <row r="40" spans="1:13" x14ac:dyDescent="0.3">
      <c r="B40" s="40"/>
      <c r="H40" s="40"/>
      <c r="I40" s="40"/>
      <c r="J40" s="40"/>
      <c r="K40" s="40"/>
    </row>
    <row r="41" spans="1:13" x14ac:dyDescent="0.3">
      <c r="B41" s="40"/>
      <c r="F41" s="55"/>
      <c r="H41" s="40"/>
      <c r="I41" s="40"/>
      <c r="J41" s="40"/>
      <c r="K41" s="40"/>
    </row>
    <row r="42" spans="1:13" x14ac:dyDescent="0.3">
      <c r="B42" s="40"/>
      <c r="G42" s="40"/>
      <c r="H42" s="40"/>
      <c r="I42" s="40"/>
      <c r="J42" s="40"/>
      <c r="K42" s="40"/>
    </row>
    <row r="43" spans="1:13" x14ac:dyDescent="0.3">
      <c r="B43" s="40"/>
    </row>
    <row r="44" spans="1:13" ht="19.8" x14ac:dyDescent="0.3">
      <c r="A44" s="35" t="s">
        <v>123</v>
      </c>
      <c r="B44" s="35"/>
      <c r="C44" s="35"/>
      <c r="D44" s="35"/>
      <c r="E44" s="35"/>
      <c r="F44" s="35"/>
      <c r="G44" s="9"/>
      <c r="H44" s="9"/>
    </row>
    <row r="45" spans="1:13" x14ac:dyDescent="0.3">
      <c r="B45" s="25">
        <v>2027</v>
      </c>
      <c r="C45" s="25">
        <v>2028</v>
      </c>
      <c r="D45" s="26">
        <v>2029</v>
      </c>
      <c r="E45" s="26">
        <v>2030</v>
      </c>
      <c r="F45" s="26">
        <v>2031</v>
      </c>
    </row>
    <row r="46" spans="1:13" x14ac:dyDescent="0.3">
      <c r="A46" s="59" t="s">
        <v>124</v>
      </c>
      <c r="B46" s="68" cm="1">
        <f t="array" ref="B46">AVERAGE($B$9:$F$9/'Income statement'!$D$4:$H$4)</f>
        <v>1.4954777315228285E-2</v>
      </c>
      <c r="C46" s="68" cm="1">
        <f t="array" ref="C46">AVERAGE($B$9:$F$9/'Income statement'!$D$4:$H$4)</f>
        <v>1.4954777315228285E-2</v>
      </c>
      <c r="D46" s="68" cm="1">
        <f t="array" ref="D46">AVERAGE($B$9:$F$9/'Income statement'!$D$4:$H$4)</f>
        <v>1.4954777315228285E-2</v>
      </c>
      <c r="E46" s="68" cm="1">
        <f t="array" ref="E46">AVERAGE($B$9:$F$9/'Income statement'!$D$4:$H$4)</f>
        <v>1.4954777315228285E-2</v>
      </c>
      <c r="F46" s="68" cm="1">
        <f t="array" ref="F46">AVERAGE($B$9:$F$9/'Income statement'!$D$4:$H$4)</f>
        <v>1.4954777315228285E-2</v>
      </c>
      <c r="G46" s="41"/>
      <c r="H46" s="41"/>
      <c r="I46" s="41"/>
      <c r="J46" s="41"/>
      <c r="K46" s="41"/>
      <c r="L46" s="41"/>
    </row>
    <row r="47" spans="1:13" x14ac:dyDescent="0.3">
      <c r="A47" s="59" t="s">
        <v>125</v>
      </c>
      <c r="B47" s="68">
        <v>1.1299999999999999E-2</v>
      </c>
      <c r="C47" s="68">
        <v>1.1299999999999999E-2</v>
      </c>
      <c r="D47" s="68">
        <v>1.1299999999999999E-2</v>
      </c>
      <c r="E47" s="68">
        <v>1.1299999999999999E-2</v>
      </c>
      <c r="F47" s="68">
        <v>1.1299999999999999E-2</v>
      </c>
      <c r="G47" s="15" t="s">
        <v>135</v>
      </c>
      <c r="H47" s="15"/>
      <c r="I47" s="15"/>
      <c r="J47" s="15"/>
      <c r="K47" s="15"/>
      <c r="L47" s="15"/>
      <c r="M47" s="16"/>
    </row>
    <row r="48" spans="1:13" x14ac:dyDescent="0.3">
      <c r="A48" s="59" t="s">
        <v>126</v>
      </c>
      <c r="B48" s="68">
        <v>0.04</v>
      </c>
      <c r="C48" s="68">
        <v>0.06</v>
      </c>
      <c r="D48" s="68">
        <v>0.08</v>
      </c>
      <c r="E48" s="68">
        <v>0.08</v>
      </c>
      <c r="F48" s="68">
        <v>0.08</v>
      </c>
      <c r="G48" s="16" t="s">
        <v>136</v>
      </c>
      <c r="H48" s="15"/>
      <c r="I48" s="15"/>
      <c r="J48" s="15"/>
      <c r="K48" s="15"/>
      <c r="L48" s="15"/>
      <c r="M48" s="16"/>
    </row>
    <row r="49" spans="1:16" x14ac:dyDescent="0.3">
      <c r="A49" s="59" t="s">
        <v>128</v>
      </c>
      <c r="B49" s="27" cm="1">
        <f t="array" ref="B49">AVERAGE($B$32:$F$32/'Income statement'!$D$14:$H$14)</f>
        <v>-0.51403367610570361</v>
      </c>
      <c r="C49" s="27" cm="1">
        <f t="array" ref="C49">AVERAGE($B$32:$F$32/'Income statement'!$D$14:$H$14)</f>
        <v>-0.51403367610570361</v>
      </c>
      <c r="D49" s="27" cm="1">
        <f t="array" ref="D49">AVERAGE($B$32:$F$32/'Income statement'!$D$14:$H$14)</f>
        <v>-0.51403367610570361</v>
      </c>
      <c r="E49" s="27" cm="1">
        <f t="array" ref="E49">AVERAGE($B$32:$F$32/'Income statement'!$D$14:$H$14)</f>
        <v>-0.51403367610570361</v>
      </c>
      <c r="F49" s="27" cm="1">
        <f t="array" ref="F49">AVERAGE($B$32:$F$32/'Income statement'!$D$14:$H$14)</f>
        <v>-0.51403367610570361</v>
      </c>
      <c r="G49" s="17"/>
      <c r="H49" s="15"/>
      <c r="I49" s="15"/>
      <c r="J49" s="15"/>
      <c r="K49" s="15"/>
      <c r="L49" s="15"/>
      <c r="M49" s="16"/>
    </row>
    <row r="50" spans="1:16" x14ac:dyDescent="0.3">
      <c r="A50" s="59"/>
      <c r="B50" s="41"/>
      <c r="C50" s="41"/>
      <c r="D50" s="41"/>
      <c r="E50" s="41"/>
      <c r="F50" s="41"/>
      <c r="G50" s="15"/>
      <c r="H50" s="15"/>
      <c r="I50" s="16"/>
      <c r="J50" s="16"/>
      <c r="K50" s="16"/>
      <c r="L50" s="16"/>
      <c r="M50" s="16"/>
    </row>
    <row r="52" spans="1:16" x14ac:dyDescent="0.3">
      <c r="B52" s="41"/>
      <c r="C52" s="41"/>
      <c r="D52" s="41"/>
      <c r="E52" s="41"/>
      <c r="F52" s="41"/>
    </row>
    <row r="53" spans="1:16" x14ac:dyDescent="0.3">
      <c r="B53" s="41"/>
    </row>
    <row r="55" spans="1:16" x14ac:dyDescent="0.3">
      <c r="B55" s="41"/>
    </row>
    <row r="56" spans="1:16" x14ac:dyDescent="0.3">
      <c r="B56" s="41"/>
      <c r="C56" s="41"/>
      <c r="D56" s="41"/>
      <c r="E56" s="41"/>
      <c r="F56" s="41"/>
      <c r="P56" s="55"/>
    </row>
    <row r="57" spans="1:16" x14ac:dyDescent="0.3">
      <c r="C57" s="41"/>
      <c r="D57" s="41"/>
      <c r="E57" s="41"/>
      <c r="F57" s="41"/>
    </row>
    <row r="61" spans="1:16" x14ac:dyDescent="0.3">
      <c r="P61" s="55"/>
    </row>
    <row r="66" spans="16:16" x14ac:dyDescent="0.3">
      <c r="P66" s="55"/>
    </row>
    <row r="71" spans="16:16" x14ac:dyDescent="0.3">
      <c r="P71" s="55"/>
    </row>
    <row r="72" spans="16:16" x14ac:dyDescent="0.3">
      <c r="P72" s="55"/>
    </row>
    <row r="74" spans="16:16" x14ac:dyDescent="0.3">
      <c r="P74" s="55"/>
    </row>
    <row r="76" spans="16:16" x14ac:dyDescent="0.3">
      <c r="P76" s="55"/>
    </row>
  </sheetData>
  <mergeCells count="1">
    <mergeCell ref="A44:F44"/>
  </mergeCells>
  <pageMargins left="0.7" right="0.7" top="0.75" bottom="0.75" header="0.3" footer="0.3"/>
  <ignoredErrors>
    <ignoredError sqref="G31 H31:K3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0F38-AF01-4DC3-9324-2D13D527ED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6fda2f-81c4-4b0a-966e-06a5a3ae36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431EC35C5334C9F060ACF5B413E56" ma:contentTypeVersion="13" ma:contentTypeDescription="Create a new document." ma:contentTypeScope="" ma:versionID="4ae40b575f2067c7ffcd81db8714df33">
  <xsd:schema xmlns:xsd="http://www.w3.org/2001/XMLSchema" xmlns:xs="http://www.w3.org/2001/XMLSchema" xmlns:p="http://schemas.microsoft.com/office/2006/metadata/properties" xmlns:ns3="976fda2f-81c4-4b0a-966e-06a5a3ae36d6" xmlns:ns4="d9191ff6-b5a0-45fb-a310-3e466f49257f" targetNamespace="http://schemas.microsoft.com/office/2006/metadata/properties" ma:root="true" ma:fieldsID="5010a95f967de836f8c0acede3cf4349" ns3:_="" ns4:_="">
    <xsd:import namespace="976fda2f-81c4-4b0a-966e-06a5a3ae36d6"/>
    <xsd:import namespace="d9191ff6-b5a0-45fb-a310-3e466f4925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fda2f-81c4-4b0a-966e-06a5a3ae3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91ff6-b5a0-45fb-a310-3e466f4925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72712-FAB1-4D72-A282-CCFA9953F29E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976fda2f-81c4-4b0a-966e-06a5a3ae36d6"/>
    <ds:schemaRef ds:uri="d9191ff6-b5a0-45fb-a310-3e466f49257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9A15078-CC03-42D0-9CFA-690E58376A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BC4375-D97F-4461-A3B4-6E13121876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6fda2f-81c4-4b0a-966e-06a5a3ae36d6"/>
    <ds:schemaRef ds:uri="d9191ff6-b5a0-45fb-a310-3e466f4925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Income statement</vt:lpstr>
      <vt:lpstr>Balance Sheet</vt:lpstr>
      <vt:lpstr>Statement of Cashflows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Ponce</dc:creator>
  <cp:lastModifiedBy>Joshua Ponce</cp:lastModifiedBy>
  <dcterms:created xsi:type="dcterms:W3CDTF">2026-08-06T18:33:04Z</dcterms:created>
  <dcterms:modified xsi:type="dcterms:W3CDTF">2026-08-27T07:05:28Z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0x01010080C431EC35C5334C9F060ACF5B413E56</vt:lpwstr>
  </property>
</Properties>
</file>